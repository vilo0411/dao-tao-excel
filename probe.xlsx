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NV" sheetId="1" state="visible" r:id="rId1"/>
    <sheet name="Chấm công" sheetId="2" state="visible" r:id="rId2"/>
    <sheet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NV</t>
        </is>
      </c>
      <c r="C1" t="inlineStr">
        <is>
          <t>Họ tên</t>
        </is>
      </c>
      <c r="D1" t="inlineStr">
        <is>
          <t>Bộ phận</t>
        </is>
      </c>
    </row>
    <row r="2">
      <c r="A2" t="n">
        <v>1</v>
      </c>
      <c r="B2" t="inlineStr">
        <is>
          <t>NV001</t>
        </is>
      </c>
      <c r="C2" t="inlineStr">
        <is>
          <t>An</t>
        </is>
      </c>
      <c r="D2" t="inlineStr">
        <is>
          <t>Kế toán</t>
        </is>
      </c>
    </row>
    <row r="3">
      <c r="A3" t="n">
        <v>2</v>
      </c>
      <c r="B3" t="inlineStr">
        <is>
          <t>NV002</t>
        </is>
      </c>
      <c r="C3" t="inlineStr">
        <is>
          <t>Bình</t>
        </is>
      </c>
      <c r="D3" t="inlineStr">
        <is>
          <t>Kỹ thuật</t>
        </is>
      </c>
    </row>
    <row r="4">
      <c r="A4" t="n">
        <v>3</v>
      </c>
      <c r="B4" t="inlineStr">
        <is>
          <t>NV003</t>
        </is>
      </c>
      <c r="C4" t="inlineStr">
        <is>
          <t>Cường</t>
        </is>
      </c>
      <c r="D4" t="inlineStr">
        <is>
          <t>Kế toán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NV</t>
        </is>
      </c>
      <c r="B1" t="inlineStr">
        <is>
          <t>Họ tên</t>
        </is>
      </c>
      <c r="C1" t="inlineStr">
        <is>
          <t>Bộ phận</t>
        </is>
      </c>
      <c r="D1" t="inlineStr">
        <is>
          <t>Tổng công</t>
        </is>
      </c>
    </row>
    <row r="2">
      <c r="A2" t="inlineStr">
        <is>
          <t>NV001</t>
        </is>
      </c>
      <c r="B2">
        <f>IFERROR(INDEX('Danh sách NV'!$C$2:$C$500,MATCH(A2,'Danh sách NV'!$B$2:$B$500,0)),"")</f>
        <v/>
      </c>
      <c r="C2">
        <f>IFERROR(INDEX('Danh sách NV'!$D$2:$D$500,MATCH(A2,'Danh sách NV'!$B$2:$B$500,0)),"")</f>
        <v/>
      </c>
      <c r="D2" t="n">
        <v>22</v>
      </c>
    </row>
    <row r="3">
      <c r="A3" t="inlineStr">
        <is>
          <t>NV002</t>
        </is>
      </c>
      <c r="B3">
        <f>IFERROR(INDEX('Danh sách NV'!$C$2:$C$500,MATCH(A3,'Danh sách NV'!$B$2:$B$500,0)),"")</f>
        <v/>
      </c>
      <c r="C3">
        <f>IFERROR(INDEX('Danh sách NV'!$D$2:$D$500,MATCH(A3,'Danh sách NV'!$B$2:$B$500,0)),"")</f>
        <v/>
      </c>
      <c r="D3" t="n">
        <v>22</v>
      </c>
    </row>
    <row r="4">
      <c r="A4" t="inlineStr">
        <is>
          <t>NV003</t>
        </is>
      </c>
      <c r="B4">
        <f>IFERROR(INDEX('Danh sách NV'!$C$2:$C$500,MATCH(A4,'Danh sách NV'!$B$2:$B$500,0)),"")</f>
        <v/>
      </c>
      <c r="C4">
        <f>IFERROR(INDEX('Danh sách NV'!$D$2:$D$500,MATCH(A4,'Danh sách NV'!$B$2:$B$500,0)),"")</f>
        <v/>
      </c>
      <c r="D4" t="n">
        <v>22</v>
      </c>
    </row>
    <row r="5">
      <c r="B5">
        <f>IFERROR(INDEX('Danh sách NV'!$C$2:$C$500,MATCH(A5,'Danh sách NV'!$B$2:$B$500,0)),"")</f>
        <v/>
      </c>
      <c r="C5">
        <f>IFERROR(INDEX('Danh sách NV'!$D$2:$D$500,MATCH(A5,'Danh sách NV'!$B$2:$B$500,0)),"")</f>
        <v/>
      </c>
      <c r="D5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Bộ phận</t>
        </is>
      </c>
      <c r="B1" t="inlineStr">
        <is>
          <t>Số NV</t>
        </is>
      </c>
      <c r="C1" t="inlineStr">
        <is>
          <t>Tổng công</t>
        </is>
      </c>
    </row>
    <row r="2">
      <c r="A2" t="inlineStr">
        <is>
          <t>Kế toán</t>
        </is>
      </c>
      <c r="B2">
        <f>IF(A2="","",COUNTIFS('Danh sách NV'!$D$2:$D$500,A2))</f>
        <v/>
      </c>
      <c r="C2">
        <f>IF(A2="","",SUMIF('Chấm công'!$C$2:$C$500,A2,'Chấm công'!$D$2:$D$500))</f>
        <v/>
      </c>
    </row>
    <row r="3">
      <c r="A3" t="inlineStr">
        <is>
          <t>Kỹ thuật</t>
        </is>
      </c>
      <c r="B3">
        <f>IF(A3="","",COUNTIFS('Danh sách NV'!$D$2:$D$500,A3))</f>
        <v/>
      </c>
      <c r="C3">
        <f>IF(A3="","",SUMIF('Chấm công'!$C$2:$C$500,A3,'Chấm công'!$D$2:$D$500))</f>
        <v/>
      </c>
    </row>
    <row r="4">
      <c r="B4">
        <f>IF(A4="","",COUNTIFS('Danh sách NV'!$D$2:$D$500,A4))</f>
        <v/>
      </c>
      <c r="C4">
        <f>IF(A4="","",SUMIF('Chấm công'!$C$2:$C$500,A4,'Chấm công'!$D$2:$D$500))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2026-07-28T15:01:36Z</dcterms:created>
  <dcterms:modified xsi:type="dcterms:W3CDTF">2026-07-28T15:01:36Z</dcterms:modified>
</cp:coreProperties>
</file>