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lương" sheetId="1" state="visible" r:id="rId1"/>
    <sheet name="Hướng dẫn" sheetId="2" state="visible" r:id="rId2"/>
  </sheets>
  <definedNames>
    <definedName name="_xlnm._FilterDatabase" localSheetId="0" hidden="1">'Bảng lương'!$A$1:$L$25</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nhan-vien" TargetMode="External" Id="rId1" /></Relationships>
</file>

<file path=xl/worksheets/sheet1.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4" customWidth="1" min="5" max="5"/>
    <col width="16" customWidth="1" min="6" max="6"/>
    <col width="16" customWidth="1" min="7" max="7"/>
    <col width="16" customWidth="1" min="8" max="8"/>
    <col width="18"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Lương cơ bản</t>
        </is>
      </c>
      <c r="E1" s="1" t="inlineStr">
        <is>
          <t>Phụ cấp</t>
        </is>
      </c>
      <c r="F1" s="1" t="inlineStr">
        <is>
          <t>Số người phụ thuộc</t>
        </is>
      </c>
      <c r="G1" s="1" t="inlineStr">
        <is>
          <t>Tổng thu nhập</t>
        </is>
      </c>
      <c r="H1" s="1" t="inlineStr">
        <is>
          <t>Bảo hiểm (10,5%)</t>
        </is>
      </c>
      <c r="I1" s="1" t="inlineStr">
        <is>
          <t>Giảm trừ gia cảnh</t>
        </is>
      </c>
      <c r="J1" s="1" t="inlineStr">
        <is>
          <t>Thu nhập tính thuế</t>
        </is>
      </c>
      <c r="K1" s="1" t="inlineStr">
        <is>
          <t>Thuế TNCN</t>
        </is>
      </c>
      <c r="L1" s="1" t="inlineStr">
        <is>
          <t>Thực lĩnh</t>
        </is>
      </c>
    </row>
    <row r="2">
      <c r="A2" s="2" t="n">
        <v>1</v>
      </c>
      <c r="B2" s="3" t="inlineStr">
        <is>
          <t>NV001</t>
        </is>
      </c>
      <c r="C2" s="3" t="inlineStr">
        <is>
          <t>Nguyễn Thị Mai</t>
        </is>
      </c>
      <c r="D2" s="4" t="n">
        <v>18000000</v>
      </c>
      <c r="E2" s="4" t="n">
        <v>2000000</v>
      </c>
      <c r="F2" s="2" t="n">
        <v>0</v>
      </c>
      <c r="G2" s="5">
        <f>IF(C2="","",D2+E2)</f>
        <v/>
      </c>
      <c r="H2" s="5">
        <f>IF(C2="","",D2*10.5%)</f>
        <v/>
      </c>
      <c r="I2" s="5">
        <f>IF(C2="","",15500000+F2*6200000)</f>
        <v/>
      </c>
      <c r="J2" s="5">
        <f>IF(C2="","",MAX(0,G2-H2-I2))</f>
        <v/>
      </c>
      <c r="K2" s="5">
        <f>IF(C2="","",IF(J2&lt;=10000000,J2*5%,IF(J2&lt;=30000000,J2*10%-500000,IF(J2&lt;=60000000,J2*20%-3500000,IF(J2&lt;=100000000,J2*30%-9500000,J2*35%-14500000)))))</f>
        <v/>
      </c>
      <c r="L2" s="5">
        <f>IF(C2="","",G2-H2-K2)</f>
        <v/>
      </c>
    </row>
    <row r="3">
      <c r="A3" s="2" t="n">
        <v>2</v>
      </c>
      <c r="B3" s="3" t="inlineStr">
        <is>
          <t>NV002</t>
        </is>
      </c>
      <c r="C3" s="3" t="inlineStr">
        <is>
          <t>Trần Văn Hùng</t>
        </is>
      </c>
      <c r="D3" s="4" t="n">
        <v>35000000</v>
      </c>
      <c r="E3" s="4" t="n">
        <v>3000000</v>
      </c>
      <c r="F3" s="2" t="n">
        <v>2</v>
      </c>
      <c r="G3" s="5">
        <f>IF(C3="","",D3+E3)</f>
        <v/>
      </c>
      <c r="H3" s="5">
        <f>IF(C3="","",D3*10.5%)</f>
        <v/>
      </c>
      <c r="I3" s="5">
        <f>IF(C3="","",15500000+F3*6200000)</f>
        <v/>
      </c>
      <c r="J3" s="5">
        <f>IF(C3="","",MAX(0,G3-H3-I3))</f>
        <v/>
      </c>
      <c r="K3" s="5">
        <f>IF(C3="","",IF(J3&lt;=10000000,J3*5%,IF(J3&lt;=30000000,J3*10%-500000,IF(J3&lt;=60000000,J3*20%-3500000,IF(J3&lt;=100000000,J3*30%-9500000,J3*35%-14500000)))))</f>
        <v/>
      </c>
      <c r="L3" s="5">
        <f>IF(C3="","",G3-H3-K3)</f>
        <v/>
      </c>
    </row>
    <row r="4">
      <c r="A4" s="2" t="n">
        <v>3</v>
      </c>
      <c r="B4" s="3" t="inlineStr">
        <is>
          <t>NV003</t>
        </is>
      </c>
      <c r="C4" s="3" t="inlineStr">
        <is>
          <t>Lê Thu Hà</t>
        </is>
      </c>
      <c r="D4" s="4" t="n">
        <v>12000000</v>
      </c>
      <c r="E4" s="4" t="n">
        <v>1500000</v>
      </c>
      <c r="F4" s="2" t="n">
        <v>1</v>
      </c>
      <c r="G4" s="5">
        <f>IF(C4="","",D4+E4)</f>
        <v/>
      </c>
      <c r="H4" s="5">
        <f>IF(C4="","",D4*10.5%)</f>
        <v/>
      </c>
      <c r="I4" s="5">
        <f>IF(C4="","",15500000+F4*6200000)</f>
        <v/>
      </c>
      <c r="J4" s="5">
        <f>IF(C4="","",MAX(0,G4-H4-I4))</f>
        <v/>
      </c>
      <c r="K4" s="5">
        <f>IF(C4="","",IF(J4&lt;=10000000,J4*5%,IF(J4&lt;=30000000,J4*10%-500000,IF(J4&lt;=60000000,J4*20%-3500000,IF(J4&lt;=100000000,J4*30%-9500000,J4*35%-14500000)))))</f>
        <v/>
      </c>
      <c r="L4" s="5">
        <f>IF(C4="","",G4-H4-K4)</f>
        <v/>
      </c>
    </row>
    <row r="5">
      <c r="A5" s="2" t="n">
        <v>4</v>
      </c>
      <c r="B5" s="3" t="inlineStr">
        <is>
          <t>NV004</t>
        </is>
      </c>
      <c r="C5" s="3" t="inlineStr">
        <is>
          <t>Phạm Minh Đức</t>
        </is>
      </c>
      <c r="D5" s="4" t="n">
        <v>70000000</v>
      </c>
      <c r="E5" s="4" t="n">
        <v>5000000</v>
      </c>
      <c r="F5" s="2" t="n">
        <v>2</v>
      </c>
      <c r="G5" s="5">
        <f>IF(C5="","",D5+E5)</f>
        <v/>
      </c>
      <c r="H5" s="5">
        <f>IF(C5="","",D5*10.5%)</f>
        <v/>
      </c>
      <c r="I5" s="5">
        <f>IF(C5="","",15500000+F5*6200000)</f>
        <v/>
      </c>
      <c r="J5" s="5">
        <f>IF(C5="","",MAX(0,G5-H5-I5))</f>
        <v/>
      </c>
      <c r="K5" s="5">
        <f>IF(C5="","",IF(J5&lt;=10000000,J5*5%,IF(J5&lt;=30000000,J5*10%-500000,IF(J5&lt;=60000000,J5*20%-3500000,IF(J5&lt;=100000000,J5*30%-9500000,J5*35%-14500000)))))</f>
        <v/>
      </c>
      <c r="L5" s="5">
        <f>IF(C5="","",G5-H5-K5)</f>
        <v/>
      </c>
    </row>
    <row r="6">
      <c r="A6" s="2" t="n"/>
      <c r="B6" s="3" t="n"/>
      <c r="C6" s="3" t="n"/>
      <c r="D6" s="4" t="n"/>
      <c r="E6" s="4" t="n"/>
      <c r="F6" s="2" t="n"/>
      <c r="G6" s="5">
        <f>IF(C6="","",D6+E6)</f>
        <v/>
      </c>
      <c r="H6" s="5">
        <f>IF(C6="","",D6*10.5%)</f>
        <v/>
      </c>
      <c r="I6" s="5">
        <f>IF(C6="","",15500000+F6*6200000)</f>
        <v/>
      </c>
      <c r="J6" s="5">
        <f>IF(C6="","",MAX(0,G6-H6-I6))</f>
        <v/>
      </c>
      <c r="K6" s="5">
        <f>IF(C6="","",IF(J6&lt;=10000000,J6*5%,IF(J6&lt;=30000000,J6*10%-500000,IF(J6&lt;=60000000,J6*20%-3500000,IF(J6&lt;=100000000,J6*30%-9500000,J6*35%-14500000)))))</f>
        <v/>
      </c>
      <c r="L6" s="5">
        <f>IF(C6="","",G6-H6-K6)</f>
        <v/>
      </c>
    </row>
    <row r="7">
      <c r="A7" s="2" t="n"/>
      <c r="B7" s="3" t="n"/>
      <c r="C7" s="3" t="n"/>
      <c r="D7" s="4" t="n"/>
      <c r="E7" s="4" t="n"/>
      <c r="F7" s="2" t="n"/>
      <c r="G7" s="5">
        <f>IF(C7="","",D7+E7)</f>
        <v/>
      </c>
      <c r="H7" s="5">
        <f>IF(C7="","",D7*10.5%)</f>
        <v/>
      </c>
      <c r="I7" s="5">
        <f>IF(C7="","",15500000+F7*6200000)</f>
        <v/>
      </c>
      <c r="J7" s="5">
        <f>IF(C7="","",MAX(0,G7-H7-I7))</f>
        <v/>
      </c>
      <c r="K7" s="5">
        <f>IF(C7="","",IF(J7&lt;=10000000,J7*5%,IF(J7&lt;=30000000,J7*10%-500000,IF(J7&lt;=60000000,J7*20%-3500000,IF(J7&lt;=100000000,J7*30%-9500000,J7*35%-14500000)))))</f>
        <v/>
      </c>
      <c r="L7" s="5">
        <f>IF(C7="","",G7-H7-K7)</f>
        <v/>
      </c>
    </row>
    <row r="8">
      <c r="A8" s="2" t="n"/>
      <c r="B8" s="3" t="n"/>
      <c r="C8" s="3" t="n"/>
      <c r="D8" s="4" t="n"/>
      <c r="E8" s="4" t="n"/>
      <c r="F8" s="2" t="n"/>
      <c r="G8" s="5">
        <f>IF(C8="","",D8+E8)</f>
        <v/>
      </c>
      <c r="H8" s="5">
        <f>IF(C8="","",D8*10.5%)</f>
        <v/>
      </c>
      <c r="I8" s="5">
        <f>IF(C8="","",15500000+F8*6200000)</f>
        <v/>
      </c>
      <c r="J8" s="5">
        <f>IF(C8="","",MAX(0,G8-H8-I8))</f>
        <v/>
      </c>
      <c r="K8" s="5">
        <f>IF(C8="","",IF(J8&lt;=10000000,J8*5%,IF(J8&lt;=30000000,J8*10%-500000,IF(J8&lt;=60000000,J8*20%-3500000,IF(J8&lt;=100000000,J8*30%-9500000,J8*35%-14500000)))))</f>
        <v/>
      </c>
      <c r="L8" s="5">
        <f>IF(C8="","",G8-H8-K8)</f>
        <v/>
      </c>
    </row>
    <row r="9">
      <c r="A9" s="2" t="n"/>
      <c r="B9" s="3" t="n"/>
      <c r="C9" s="3" t="n"/>
      <c r="D9" s="4" t="n"/>
      <c r="E9" s="4" t="n"/>
      <c r="F9" s="2" t="n"/>
      <c r="G9" s="5">
        <f>IF(C9="","",D9+E9)</f>
        <v/>
      </c>
      <c r="H9" s="5">
        <f>IF(C9="","",D9*10.5%)</f>
        <v/>
      </c>
      <c r="I9" s="5">
        <f>IF(C9="","",15500000+F9*6200000)</f>
        <v/>
      </c>
      <c r="J9" s="5">
        <f>IF(C9="","",MAX(0,G9-H9-I9))</f>
        <v/>
      </c>
      <c r="K9" s="5">
        <f>IF(C9="","",IF(J9&lt;=10000000,J9*5%,IF(J9&lt;=30000000,J9*10%-500000,IF(J9&lt;=60000000,J9*20%-3500000,IF(J9&lt;=100000000,J9*30%-9500000,J9*35%-14500000)))))</f>
        <v/>
      </c>
      <c r="L9" s="5">
        <f>IF(C9="","",G9-H9-K9)</f>
        <v/>
      </c>
    </row>
    <row r="10">
      <c r="A10" s="2" t="n"/>
      <c r="B10" s="3" t="n"/>
      <c r="C10" s="3" t="n"/>
      <c r="D10" s="4" t="n"/>
      <c r="E10" s="4" t="n"/>
      <c r="F10" s="2" t="n"/>
      <c r="G10" s="5">
        <f>IF(C10="","",D10+E10)</f>
        <v/>
      </c>
      <c r="H10" s="5">
        <f>IF(C10="","",D10*10.5%)</f>
        <v/>
      </c>
      <c r="I10" s="5">
        <f>IF(C10="","",15500000+F10*6200000)</f>
        <v/>
      </c>
      <c r="J10" s="5">
        <f>IF(C10="","",MAX(0,G10-H10-I10))</f>
        <v/>
      </c>
      <c r="K10" s="5">
        <f>IF(C10="","",IF(J10&lt;=10000000,J10*5%,IF(J10&lt;=30000000,J10*10%-500000,IF(J10&lt;=60000000,J10*20%-3500000,IF(J10&lt;=100000000,J10*30%-9500000,J10*35%-14500000)))))</f>
        <v/>
      </c>
      <c r="L10" s="5">
        <f>IF(C10="","",G10-H10-K10)</f>
        <v/>
      </c>
    </row>
    <row r="11">
      <c r="A11" s="2" t="n"/>
      <c r="B11" s="3" t="n"/>
      <c r="C11" s="3" t="n"/>
      <c r="D11" s="4" t="n"/>
      <c r="E11" s="4" t="n"/>
      <c r="F11" s="2" t="n"/>
      <c r="G11" s="5">
        <f>IF(C11="","",D11+E11)</f>
        <v/>
      </c>
      <c r="H11" s="5">
        <f>IF(C11="","",D11*10.5%)</f>
        <v/>
      </c>
      <c r="I11" s="5">
        <f>IF(C11="","",15500000+F11*6200000)</f>
        <v/>
      </c>
      <c r="J11" s="5">
        <f>IF(C11="","",MAX(0,G11-H11-I11))</f>
        <v/>
      </c>
      <c r="K11" s="5">
        <f>IF(C11="","",IF(J11&lt;=10000000,J11*5%,IF(J11&lt;=30000000,J11*10%-500000,IF(J11&lt;=60000000,J11*20%-3500000,IF(J11&lt;=100000000,J11*30%-9500000,J11*35%-14500000)))))</f>
        <v/>
      </c>
      <c r="L11" s="5">
        <f>IF(C11="","",G11-H11-K11)</f>
        <v/>
      </c>
    </row>
    <row r="12">
      <c r="A12" s="2" t="n"/>
      <c r="B12" s="3" t="n"/>
      <c r="C12" s="3" t="n"/>
      <c r="D12" s="4" t="n"/>
      <c r="E12" s="4" t="n"/>
      <c r="F12" s="2" t="n"/>
      <c r="G12" s="5">
        <f>IF(C12="","",D12+E12)</f>
        <v/>
      </c>
      <c r="H12" s="5">
        <f>IF(C12="","",D12*10.5%)</f>
        <v/>
      </c>
      <c r="I12" s="5">
        <f>IF(C12="","",15500000+F12*6200000)</f>
        <v/>
      </c>
      <c r="J12" s="5">
        <f>IF(C12="","",MAX(0,G12-H12-I12))</f>
        <v/>
      </c>
      <c r="K12" s="5">
        <f>IF(C12="","",IF(J12&lt;=10000000,J12*5%,IF(J12&lt;=30000000,J12*10%-500000,IF(J12&lt;=60000000,J12*20%-3500000,IF(J12&lt;=100000000,J12*30%-9500000,J12*35%-14500000)))))</f>
        <v/>
      </c>
      <c r="L12" s="5">
        <f>IF(C12="","",G12-H12-K12)</f>
        <v/>
      </c>
    </row>
    <row r="13">
      <c r="A13" s="2" t="n"/>
      <c r="B13" s="3" t="n"/>
      <c r="C13" s="3" t="n"/>
      <c r="D13" s="4" t="n"/>
      <c r="E13" s="4" t="n"/>
      <c r="F13" s="2" t="n"/>
      <c r="G13" s="5">
        <f>IF(C13="","",D13+E13)</f>
        <v/>
      </c>
      <c r="H13" s="5">
        <f>IF(C13="","",D13*10.5%)</f>
        <v/>
      </c>
      <c r="I13" s="5">
        <f>IF(C13="","",15500000+F13*6200000)</f>
        <v/>
      </c>
      <c r="J13" s="5">
        <f>IF(C13="","",MAX(0,G13-H13-I13))</f>
        <v/>
      </c>
      <c r="K13" s="5">
        <f>IF(C13="","",IF(J13&lt;=10000000,J13*5%,IF(J13&lt;=30000000,J13*10%-500000,IF(J13&lt;=60000000,J13*20%-3500000,IF(J13&lt;=100000000,J13*30%-9500000,J13*35%-14500000)))))</f>
        <v/>
      </c>
      <c r="L13" s="5">
        <f>IF(C13="","",G13-H13-K13)</f>
        <v/>
      </c>
    </row>
    <row r="14">
      <c r="A14" s="2" t="n"/>
      <c r="B14" s="3" t="n"/>
      <c r="C14" s="3" t="n"/>
      <c r="D14" s="4" t="n"/>
      <c r="E14" s="4" t="n"/>
      <c r="F14" s="2" t="n"/>
      <c r="G14" s="5">
        <f>IF(C14="","",D14+E14)</f>
        <v/>
      </c>
      <c r="H14" s="5">
        <f>IF(C14="","",D14*10.5%)</f>
        <v/>
      </c>
      <c r="I14" s="5">
        <f>IF(C14="","",15500000+F14*6200000)</f>
        <v/>
      </c>
      <c r="J14" s="5">
        <f>IF(C14="","",MAX(0,G14-H14-I14))</f>
        <v/>
      </c>
      <c r="K14" s="5">
        <f>IF(C14="","",IF(J14&lt;=10000000,J14*5%,IF(J14&lt;=30000000,J14*10%-500000,IF(J14&lt;=60000000,J14*20%-3500000,IF(J14&lt;=100000000,J14*30%-9500000,J14*35%-14500000)))))</f>
        <v/>
      </c>
      <c r="L14" s="5">
        <f>IF(C14="","",G14-H14-K14)</f>
        <v/>
      </c>
    </row>
    <row r="15">
      <c r="A15" s="2" t="n"/>
      <c r="B15" s="3" t="n"/>
      <c r="C15" s="3" t="n"/>
      <c r="D15" s="4" t="n"/>
      <c r="E15" s="4" t="n"/>
      <c r="F15" s="2" t="n"/>
      <c r="G15" s="5">
        <f>IF(C15="","",D15+E15)</f>
        <v/>
      </c>
      <c r="H15" s="5">
        <f>IF(C15="","",D15*10.5%)</f>
        <v/>
      </c>
      <c r="I15" s="5">
        <f>IF(C15="","",15500000+F15*6200000)</f>
        <v/>
      </c>
      <c r="J15" s="5">
        <f>IF(C15="","",MAX(0,G15-H15-I15))</f>
        <v/>
      </c>
      <c r="K15" s="5">
        <f>IF(C15="","",IF(J15&lt;=10000000,J15*5%,IF(J15&lt;=30000000,J15*10%-500000,IF(J15&lt;=60000000,J15*20%-3500000,IF(J15&lt;=100000000,J15*30%-9500000,J15*35%-14500000)))))</f>
        <v/>
      </c>
      <c r="L15" s="5">
        <f>IF(C15="","",G15-H15-K15)</f>
        <v/>
      </c>
    </row>
    <row r="16">
      <c r="A16" s="2" t="n"/>
      <c r="B16" s="3" t="n"/>
      <c r="C16" s="3" t="n"/>
      <c r="D16" s="4" t="n"/>
      <c r="E16" s="4" t="n"/>
      <c r="F16" s="2" t="n"/>
      <c r="G16" s="5">
        <f>IF(C16="","",D16+E16)</f>
        <v/>
      </c>
      <c r="H16" s="5">
        <f>IF(C16="","",D16*10.5%)</f>
        <v/>
      </c>
      <c r="I16" s="5">
        <f>IF(C16="","",15500000+F16*6200000)</f>
        <v/>
      </c>
      <c r="J16" s="5">
        <f>IF(C16="","",MAX(0,G16-H16-I16))</f>
        <v/>
      </c>
      <c r="K16" s="5">
        <f>IF(C16="","",IF(J16&lt;=10000000,J16*5%,IF(J16&lt;=30000000,J16*10%-500000,IF(J16&lt;=60000000,J16*20%-3500000,IF(J16&lt;=100000000,J16*30%-9500000,J16*35%-14500000)))))</f>
        <v/>
      </c>
      <c r="L16" s="5">
        <f>IF(C16="","",G16-H16-K16)</f>
        <v/>
      </c>
    </row>
    <row r="17">
      <c r="A17" s="2" t="n"/>
      <c r="B17" s="3" t="n"/>
      <c r="C17" s="3" t="n"/>
      <c r="D17" s="4" t="n"/>
      <c r="E17" s="4" t="n"/>
      <c r="F17" s="2" t="n"/>
      <c r="G17" s="5">
        <f>IF(C17="","",D17+E17)</f>
        <v/>
      </c>
      <c r="H17" s="5">
        <f>IF(C17="","",D17*10.5%)</f>
        <v/>
      </c>
      <c r="I17" s="5">
        <f>IF(C17="","",15500000+F17*6200000)</f>
        <v/>
      </c>
      <c r="J17" s="5">
        <f>IF(C17="","",MAX(0,G17-H17-I17))</f>
        <v/>
      </c>
      <c r="K17" s="5">
        <f>IF(C17="","",IF(J17&lt;=10000000,J17*5%,IF(J17&lt;=30000000,J17*10%-500000,IF(J17&lt;=60000000,J17*20%-3500000,IF(J17&lt;=100000000,J17*30%-9500000,J17*35%-14500000)))))</f>
        <v/>
      </c>
      <c r="L17" s="5">
        <f>IF(C17="","",G17-H17-K17)</f>
        <v/>
      </c>
    </row>
    <row r="18">
      <c r="A18" s="2" t="n"/>
      <c r="B18" s="3" t="n"/>
      <c r="C18" s="3" t="n"/>
      <c r="D18" s="4" t="n"/>
      <c r="E18" s="4" t="n"/>
      <c r="F18" s="2" t="n"/>
      <c r="G18" s="5">
        <f>IF(C18="","",D18+E18)</f>
        <v/>
      </c>
      <c r="H18" s="5">
        <f>IF(C18="","",D18*10.5%)</f>
        <v/>
      </c>
      <c r="I18" s="5">
        <f>IF(C18="","",15500000+F18*6200000)</f>
        <v/>
      </c>
      <c r="J18" s="5">
        <f>IF(C18="","",MAX(0,G18-H18-I18))</f>
        <v/>
      </c>
      <c r="K18" s="5">
        <f>IF(C18="","",IF(J18&lt;=10000000,J18*5%,IF(J18&lt;=30000000,J18*10%-500000,IF(J18&lt;=60000000,J18*20%-3500000,IF(J18&lt;=100000000,J18*30%-9500000,J18*35%-14500000)))))</f>
        <v/>
      </c>
      <c r="L18" s="5">
        <f>IF(C18="","",G18-H18-K18)</f>
        <v/>
      </c>
    </row>
    <row r="19">
      <c r="A19" s="2" t="n"/>
      <c r="B19" s="3" t="n"/>
      <c r="C19" s="3" t="n"/>
      <c r="D19" s="4" t="n"/>
      <c r="E19" s="4" t="n"/>
      <c r="F19" s="2" t="n"/>
      <c r="G19" s="5">
        <f>IF(C19="","",D19+E19)</f>
        <v/>
      </c>
      <c r="H19" s="5">
        <f>IF(C19="","",D19*10.5%)</f>
        <v/>
      </c>
      <c r="I19" s="5">
        <f>IF(C19="","",15500000+F19*6200000)</f>
        <v/>
      </c>
      <c r="J19" s="5">
        <f>IF(C19="","",MAX(0,G19-H19-I19))</f>
        <v/>
      </c>
      <c r="K19" s="5">
        <f>IF(C19="","",IF(J19&lt;=10000000,J19*5%,IF(J19&lt;=30000000,J19*10%-500000,IF(J19&lt;=60000000,J19*20%-3500000,IF(J19&lt;=100000000,J19*30%-9500000,J19*35%-14500000)))))</f>
        <v/>
      </c>
      <c r="L19" s="5">
        <f>IF(C19="","",G19-H19-K19)</f>
        <v/>
      </c>
    </row>
    <row r="20">
      <c r="A20" s="2" t="n"/>
      <c r="B20" s="3" t="n"/>
      <c r="C20" s="3" t="n"/>
      <c r="D20" s="4" t="n"/>
      <c r="E20" s="4" t="n"/>
      <c r="F20" s="2" t="n"/>
      <c r="G20" s="5">
        <f>IF(C20="","",D20+E20)</f>
        <v/>
      </c>
      <c r="H20" s="5">
        <f>IF(C20="","",D20*10.5%)</f>
        <v/>
      </c>
      <c r="I20" s="5">
        <f>IF(C20="","",15500000+F20*6200000)</f>
        <v/>
      </c>
      <c r="J20" s="5">
        <f>IF(C20="","",MAX(0,G20-H20-I20))</f>
        <v/>
      </c>
      <c r="K20" s="5">
        <f>IF(C20="","",IF(J20&lt;=10000000,J20*5%,IF(J20&lt;=30000000,J20*10%-500000,IF(J20&lt;=60000000,J20*20%-3500000,IF(J20&lt;=100000000,J20*30%-9500000,J20*35%-14500000)))))</f>
        <v/>
      </c>
      <c r="L20" s="5">
        <f>IF(C20="","",G20-H20-K20)</f>
        <v/>
      </c>
    </row>
    <row r="21">
      <c r="A21" s="2" t="n"/>
      <c r="B21" s="3" t="n"/>
      <c r="C21" s="3" t="n"/>
      <c r="D21" s="4" t="n"/>
      <c r="E21" s="4" t="n"/>
      <c r="F21" s="2" t="n"/>
      <c r="G21" s="5">
        <f>IF(C21="","",D21+E21)</f>
        <v/>
      </c>
      <c r="H21" s="5">
        <f>IF(C21="","",D21*10.5%)</f>
        <v/>
      </c>
      <c r="I21" s="5">
        <f>IF(C21="","",15500000+F21*6200000)</f>
        <v/>
      </c>
      <c r="J21" s="5">
        <f>IF(C21="","",MAX(0,G21-H21-I21))</f>
        <v/>
      </c>
      <c r="K21" s="5">
        <f>IF(C21="","",IF(J21&lt;=10000000,J21*5%,IF(J21&lt;=30000000,J21*10%-500000,IF(J21&lt;=60000000,J21*20%-3500000,IF(J21&lt;=100000000,J21*30%-9500000,J21*35%-14500000)))))</f>
        <v/>
      </c>
      <c r="L21" s="5">
        <f>IF(C21="","",G21-H21-K21)</f>
        <v/>
      </c>
    </row>
    <row r="22">
      <c r="A22" s="2" t="n"/>
      <c r="B22" s="3" t="n"/>
      <c r="C22" s="3" t="n"/>
      <c r="D22" s="4" t="n"/>
      <c r="E22" s="4" t="n"/>
      <c r="F22" s="2" t="n"/>
      <c r="G22" s="5">
        <f>IF(C22="","",D22+E22)</f>
        <v/>
      </c>
      <c r="H22" s="5">
        <f>IF(C22="","",D22*10.5%)</f>
        <v/>
      </c>
      <c r="I22" s="5">
        <f>IF(C22="","",15500000+F22*6200000)</f>
        <v/>
      </c>
      <c r="J22" s="5">
        <f>IF(C22="","",MAX(0,G22-H22-I22))</f>
        <v/>
      </c>
      <c r="K22" s="5">
        <f>IF(C22="","",IF(J22&lt;=10000000,J22*5%,IF(J22&lt;=30000000,J22*10%-500000,IF(J22&lt;=60000000,J22*20%-3500000,IF(J22&lt;=100000000,J22*30%-9500000,J22*35%-14500000)))))</f>
        <v/>
      </c>
      <c r="L22" s="5">
        <f>IF(C22="","",G22-H22-K22)</f>
        <v/>
      </c>
    </row>
    <row r="23">
      <c r="A23" s="2" t="n"/>
      <c r="B23" s="3" t="n"/>
      <c r="C23" s="3" t="n"/>
      <c r="D23" s="4" t="n"/>
      <c r="E23" s="4" t="n"/>
      <c r="F23" s="2" t="n"/>
      <c r="G23" s="5">
        <f>IF(C23="","",D23+E23)</f>
        <v/>
      </c>
      <c r="H23" s="5">
        <f>IF(C23="","",D23*10.5%)</f>
        <v/>
      </c>
      <c r="I23" s="5">
        <f>IF(C23="","",15500000+F23*6200000)</f>
        <v/>
      </c>
      <c r="J23" s="5">
        <f>IF(C23="","",MAX(0,G23-H23-I23))</f>
        <v/>
      </c>
      <c r="K23" s="5">
        <f>IF(C23="","",IF(J23&lt;=10000000,J23*5%,IF(J23&lt;=30000000,J23*10%-500000,IF(J23&lt;=60000000,J23*20%-3500000,IF(J23&lt;=100000000,J23*30%-9500000,J23*35%-14500000)))))</f>
        <v/>
      </c>
      <c r="L23" s="5">
        <f>IF(C23="","",G23-H23-K23)</f>
        <v/>
      </c>
    </row>
    <row r="24">
      <c r="A24" s="2" t="n"/>
      <c r="B24" s="3" t="n"/>
      <c r="C24" s="3" t="n"/>
      <c r="D24" s="4" t="n"/>
      <c r="E24" s="4" t="n"/>
      <c r="F24" s="2" t="n"/>
      <c r="G24" s="5">
        <f>IF(C24="","",D24+E24)</f>
        <v/>
      </c>
      <c r="H24" s="5">
        <f>IF(C24="","",D24*10.5%)</f>
        <v/>
      </c>
      <c r="I24" s="5">
        <f>IF(C24="","",15500000+F24*6200000)</f>
        <v/>
      </c>
      <c r="J24" s="5">
        <f>IF(C24="","",MAX(0,G24-H24-I24))</f>
        <v/>
      </c>
      <c r="K24" s="5">
        <f>IF(C24="","",IF(J24&lt;=10000000,J24*5%,IF(J24&lt;=30000000,J24*10%-500000,IF(J24&lt;=60000000,J24*20%-3500000,IF(J24&lt;=100000000,J24*30%-9500000,J24*35%-14500000)))))</f>
        <v/>
      </c>
      <c r="L24" s="5">
        <f>IF(C24="","",G24-H24-K24)</f>
        <v/>
      </c>
    </row>
    <row r="25">
      <c r="A25" s="2" t="n"/>
      <c r="B25" s="3" t="n"/>
      <c r="C25" s="3" t="n"/>
      <c r="D25" s="4" t="n"/>
      <c r="E25" s="4" t="n"/>
      <c r="F25" s="2" t="n"/>
      <c r="G25" s="5">
        <f>IF(C25="","",D25+E25)</f>
        <v/>
      </c>
      <c r="H25" s="5">
        <f>IF(C25="","",D25*10.5%)</f>
        <v/>
      </c>
      <c r="I25" s="5">
        <f>IF(C25="","",15500000+F25*6200000)</f>
        <v/>
      </c>
      <c r="J25" s="5">
        <f>IF(C25="","",MAX(0,G25-H25-I25))</f>
        <v/>
      </c>
      <c r="K25" s="5">
        <f>IF(C25="","",IF(J25&lt;=10000000,J25*5%,IF(J25&lt;=30000000,J25*10%-500000,IF(J25&lt;=60000000,J25*20%-3500000,IF(J25&lt;=100000000,J25*30%-9500000,J25*35%-14500000)))))</f>
        <v/>
      </c>
      <c r="L25" s="5">
        <f>IF(C25="","",G25-H25-K25)</f>
        <v/>
      </c>
    </row>
  </sheetData>
  <autoFilter ref="A1:L25"/>
  <dataValidations count="3">
    <dataValidation sqref="D2:D25" showDropDown="0" showInputMessage="0" showErrorMessage="0" allowBlank="1" errorTitle="Sai định dạng" error="Giá trị không hợp lệ cho cột này." type="decimal" operator="between">
      <formula1>0</formula1>
      <formula2>1000000000</formula2>
    </dataValidation>
    <dataValidation sqref="E2:E25" showDropDown="0" showInputMessage="0" showErrorMessage="0" allowBlank="1" errorTitle="Sai định dạng" error="Giá trị không hợp lệ cho cột này." type="decimal" operator="between">
      <formula1>0</formula1>
      <formula2>1000000000</formula2>
    </dataValidation>
    <dataValidation sqref="F2:F25"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8"/>
  <sheetViews>
    <sheetView workbookViewId="0">
      <selection activeCell="A1" sqref="A1"/>
    </sheetView>
  </sheetViews>
  <sheetFormatPr baseColWidth="8" defaultRowHeight="15"/>
  <cols>
    <col width="4" customWidth="1" min="1" max="1"/>
    <col width="100" customWidth="1" min="2" max="2"/>
  </cols>
  <sheetData>
    <row r="1">
      <c r="B1" s="6" t="inlineStr">
        <is>
          <t>Mẫu Excel tính lương nhân viên 2026 (đã cập nhật thuế TNCN mới)</t>
        </is>
      </c>
    </row>
    <row r="2">
      <c r="B2" s="7" t="inlineStr"/>
    </row>
    <row r="3">
      <c r="B3" s="8" t="inlineStr">
        <is>
          <t>CÁCH DÙNG</t>
        </is>
      </c>
    </row>
    <row r="4">
      <c r="B4" s="9" t="inlineStr">
        <is>
          <t>1. Nhập thông tin và lương cơ bản</t>
        </is>
      </c>
    </row>
    <row r="5">
      <c r="B5" s="7" t="inlineStr">
        <is>
          <t xml:space="preserve">   Điền mã nhân viên, họ tên và mức lương cơ bản ghi trên hợp đồng lao động. Đây là mức dùng làm căn cứ đóng bảo hiểm bắt buộc.</t>
        </is>
      </c>
    </row>
    <row r="6">
      <c r="B6" s="9" t="inlineStr">
        <is>
          <t>2. Nhập phụ cấp</t>
        </is>
      </c>
    </row>
    <row r="7">
      <c r="B7" s="7" t="inlineStr">
        <is>
          <t xml:space="preserve">   Điền tổng các khoản phụ cấp trong tháng như ăn trưa, xăng xe, điện thoại. Các khoản này cộng vào tổng thu nhập nhưng không dùng làm căn cứ tính bảo hiểm trong mẫu này.</t>
        </is>
      </c>
    </row>
    <row r="8">
      <c r="B8" s="9" t="inlineStr">
        <is>
          <t>3. Nhập số người phụ thuộc</t>
        </is>
      </c>
    </row>
    <row r="9">
      <c r="B9" s="7" t="inlineStr">
        <is>
          <t xml:space="preserve">   Điền số người phụ thuộc đã đăng ký với cơ quan thuế của từng nhân viên. Mỗi người phụ thuộc được giảm trừ 6,2 triệu đồng một tháng, ảnh hưởng trực tiếp tới số thuế phải nộp.</t>
        </is>
      </c>
    </row>
    <row r="10">
      <c r="B10" s="9" t="inlineStr">
        <is>
          <t>4. Đọc kết quả</t>
        </is>
      </c>
    </row>
    <row r="11">
      <c r="B11" s="7" t="inlineStr">
        <is>
          <t xml:space="preserve">   Năm cột cuối tự tính toàn bộ: tổng thu nhập, bảo hiểm, thu nhập tính thuế, thuế TNCN và lương thực lĩnh. Bạn không cần nhập gì vào các cột này.</t>
        </is>
      </c>
    </row>
    <row r="12">
      <c r="B12" s="7" t="inlineStr"/>
    </row>
    <row r="13">
      <c r="B13" s="8" t="inlineStr">
        <is>
          <t>CÔNG THỨC TRONG FILE</t>
        </is>
      </c>
    </row>
    <row r="14">
      <c r="B14" s="9" t="inlineStr">
        <is>
          <t>Tổng thu nhập  —  =IF(C2="","",D2+E2)</t>
        </is>
      </c>
    </row>
    <row r="15">
      <c r="B15" s="7" t="inlineStr">
        <is>
          <t xml:space="preserve">   Cộng lương cơ bản với phụ cấp để ra tổng thu nhập trước khi trừ bảo hiểm và thuế.</t>
        </is>
      </c>
    </row>
    <row r="16">
      <c r="B16" s="9" t="inlineStr">
        <is>
          <t>Bảo hiểm (10,5%)  —  =IF(C2="","",D2*10.5%)</t>
        </is>
      </c>
    </row>
    <row r="17">
      <c r="B17" s="7" t="inlineStr">
        <is>
          <t xml:space="preserve">   Phần người lao động đóng: bảo hiểm xã hội 8% cộng y tế 1,5% cộng thất nghiệp 1%. Tính trên lương cơ bản, không tính trên phụ cấp.</t>
        </is>
      </c>
    </row>
    <row r="18">
      <c r="B18" s="9" t="inlineStr">
        <is>
          <t>Giảm trừ gia cảnh  —  =IF(C2="","",15500000+F2*6200000)</t>
        </is>
      </c>
    </row>
    <row r="19">
      <c r="B19" s="7" t="inlineStr">
        <is>
          <t xml:space="preserve">   Giảm trừ bản thân 15.500.000đ cộng 6.200.000đ cho mỗi người phụ thuộc, theo mức áp dụng từ kỳ tính thuế 2026. Sửa hai con số này nếu quy định thay đổi.</t>
        </is>
      </c>
    </row>
    <row r="20">
      <c r="B20" s="9" t="inlineStr">
        <is>
          <t>Thu nhập tính thuế  —  =IF(C2="","",MAX(0,G2-H2-I2))</t>
        </is>
      </c>
    </row>
    <row r="21">
      <c r="B21" s="7" t="inlineStr">
        <is>
          <t xml:space="preserve">   Lấy tổng thu nhập trừ bảo hiểm và giảm trừ gia cảnh. Bọc MAX với 0 để thu nhập thấp hơn mức giảm trừ thì trả về 0 thay vì số âm.</t>
        </is>
      </c>
    </row>
    <row r="22">
      <c r="B22" s="9" t="inlineStr">
        <is>
          <t>Thuế TNCN  —  =IF(C2="","",IF(J2&lt;=10000000,J2*5%,IF(J2&lt;=30000000,J2*10%-500000,IF(J2&lt;=60000000,J2*20%-3500000,IF(J2&lt;=100000000,J2*30%-9500000,J2*35%-14500000)))))</t>
        </is>
      </c>
    </row>
    <row r="23">
      <c r="B23" s="7" t="inlineStr">
        <is>
          <t xml:space="preserve">   Biểu lũy tiến 5 bậc năm 2026 viết theo cách tính rút gọn: mỗi bậc lấy thu nhập nhân thuế suất rồi trừ đi một số cố định, thay vì phải tách thu nhập ra từng phần. Các số trừ 500.000, 3.500.000, 9.500.000 và 14.500.000 chính là phần chênh lệch tích lũy giữa các bậc.</t>
        </is>
      </c>
    </row>
    <row r="24">
      <c r="B24" s="9" t="inlineStr">
        <is>
          <t>Thực lĩnh  —  =IF(C2="","",G2-H2-K2)</t>
        </is>
      </c>
    </row>
    <row r="25">
      <c r="B25" s="7" t="inlineStr">
        <is>
          <t xml:space="preserve">   Tổng thu nhập trừ bảo hiểm và thuế TNCN. Đây là số tiền thực nhận của nhân viên.</t>
        </is>
      </c>
    </row>
    <row r="26">
      <c r="B26" s="7" t="inlineStr"/>
    </row>
    <row r="27">
      <c r="B27" s="9" t="inlineStr">
        <is>
          <t>Bản cập nhật mới nhất và hướng dẫn chi tiết:</t>
        </is>
      </c>
    </row>
    <row r="28">
      <c r="B28" s="10" t="inlineStr">
        <is>
          <t>https://excel.nguyenvietloc.com/mau-excel/nhan-su/bang-tinh-luong-nhan-vien</t>
        </is>
      </c>
    </row>
  </sheetData>
  <hyperlinks>
    <hyperlink xmlns:r="http://schemas.openxmlformats.org/officeDocument/2006/relationships" ref="B28"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2026-07-27T23:04:13Z</dcterms:created>
  <dcterms:modified xsi:type="dcterms:W3CDTF">2026-07-27T23:04:13Z</dcterms:modified>
</cp:coreProperties>
</file>