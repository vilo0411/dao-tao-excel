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ảng lương" sheetId="1" state="visible" r:id="rId1"/>
    <sheet name="Hướng dẫn" sheetId="2" state="visible" r:id="rId2"/>
  </sheets>
  <definedNames>
    <definedName name="_xlnm._FilterDatabase" localSheetId="0" hidden="1">'Bảng lương'!$A$1:$P$25</definedName>
  </definedNames>
  <calcPr calcId="124519" fullCalcOnLoad="1"/>
</workbook>
</file>

<file path=xl/styles.xml><?xml version="1.0" encoding="utf-8"?>
<styleSheet xmlns="http://schemas.openxmlformats.org/spreadsheetml/2006/main">
  <numFmts count="2">
    <numFmt numFmtId="164" formatCode="#,##0.##"/>
    <numFmt numFmtId="165"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0" borderId="1" pivotButton="0" quotePrefix="0" xfId="0"/>
    <xf numFmtId="165"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tinh-luong-nhan-vien" TargetMode="External" Id="rId1" /></Relationships>
</file>

<file path=xl/worksheets/sheet1.xml><?xml version="1.0" encoding="utf-8"?>
<worksheet xmlns="http://schemas.openxmlformats.org/spreadsheetml/2006/main">
  <sheetPr>
    <outlinePr summaryBelow="1" summaryRight="1"/>
    <pageSetUpPr/>
  </sheetPr>
  <dimension ref="A1:P2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16" customWidth="1" min="5" max="5"/>
    <col width="14" customWidth="1" min="6" max="6"/>
    <col width="12" customWidth="1" min="7" max="7"/>
    <col width="16" customWidth="1" min="8" max="8"/>
    <col width="16" customWidth="1" min="9" max="9"/>
    <col width="16" customWidth="1" min="10" max="10"/>
    <col width="16" customWidth="1" min="11" max="11"/>
    <col width="16" customWidth="1" min="12" max="12"/>
    <col width="18" customWidth="1" min="13" max="13"/>
    <col width="18" customWidth="1" min="14" max="14"/>
    <col width="16" customWidth="1" min="15" max="15"/>
    <col width="16" customWidth="1" min="16" max="16"/>
  </cols>
  <sheetData>
    <row r="1" ht="32" customHeight="1">
      <c r="A1" s="1" t="inlineStr">
        <is>
          <t>STT</t>
        </is>
      </c>
      <c r="B1" s="1" t="inlineStr">
        <is>
          <t>Mã NV</t>
        </is>
      </c>
      <c r="C1" s="1" t="inlineStr">
        <is>
          <t>Họ và tên</t>
        </is>
      </c>
      <c r="D1" s="1" t="inlineStr">
        <is>
          <t>Bộ phận</t>
        </is>
      </c>
      <c r="E1" s="1" t="inlineStr">
        <is>
          <t>Lương cơ bản</t>
        </is>
      </c>
      <c r="F1" s="1" t="inlineStr">
        <is>
          <t>Phụ cấp</t>
        </is>
      </c>
      <c r="G1" s="1" t="inlineStr">
        <is>
          <t>Công chuẩn</t>
        </is>
      </c>
      <c r="H1" s="1" t="inlineStr">
        <is>
          <t>Công hưởng lương</t>
        </is>
      </c>
      <c r="I1" s="1" t="inlineStr">
        <is>
          <t>Số người phụ thuộc</t>
        </is>
      </c>
      <c r="J1" s="1" t="inlineStr">
        <is>
          <t>Lương theo công</t>
        </is>
      </c>
      <c r="K1" s="1" t="inlineStr">
        <is>
          <t>Tổng thu nhập</t>
        </is>
      </c>
      <c r="L1" s="1" t="inlineStr">
        <is>
          <t>Bảo hiểm (10,5%)</t>
        </is>
      </c>
      <c r="M1" s="1" t="inlineStr">
        <is>
          <t>Giảm trừ gia cảnh</t>
        </is>
      </c>
      <c r="N1" s="1" t="inlineStr">
        <is>
          <t>Thu nhập tính thuế</t>
        </is>
      </c>
      <c r="O1" s="1" t="inlineStr">
        <is>
          <t>Thuế TNCN</t>
        </is>
      </c>
      <c r="P1" s="1" t="inlineStr">
        <is>
          <t>Thực lĩnh</t>
        </is>
      </c>
    </row>
    <row r="2">
      <c r="A2" s="2" t="n">
        <v>1</v>
      </c>
      <c r="B2" s="3" t="inlineStr">
        <is>
          <t>NV001</t>
        </is>
      </c>
      <c r="C2" s="3" t="inlineStr">
        <is>
          <t>Nguyễn Thị Mai</t>
        </is>
      </c>
      <c r="D2" s="3" t="inlineStr">
        <is>
          <t>Kinh doanh</t>
        </is>
      </c>
      <c r="E2" s="4" t="n">
        <v>18000000</v>
      </c>
      <c r="F2" s="4" t="n">
        <v>2000000</v>
      </c>
      <c r="G2" s="2" t="n">
        <v>26</v>
      </c>
      <c r="H2" s="2" t="n">
        <v>26</v>
      </c>
      <c r="I2" s="2" t="n">
        <v>0</v>
      </c>
      <c r="J2" s="5">
        <f>IF(C2="","",IFERROR(ROUND(E2/G2*H2,0),0))</f>
        <v/>
      </c>
      <c r="K2" s="5">
        <f>IF(C2="","",J2+F2)</f>
        <v/>
      </c>
      <c r="L2" s="5">
        <f>IF(C2="","",E2*10.5%)</f>
        <v/>
      </c>
      <c r="M2" s="5">
        <f>IF(C2="","",15500000+I2*6200000)</f>
        <v/>
      </c>
      <c r="N2" s="5">
        <f>IF(C2="","",MAX(0,K2-L2-M2))</f>
        <v/>
      </c>
      <c r="O2" s="5">
        <f>IF(C2="","",IF(N2&lt;=10000000,N2*5%,IF(N2&lt;=30000000,N2*10%-500000,IF(N2&lt;=60000000,N2*20%-3500000,IF(N2&lt;=100000000,N2*30%-9500000,N2*35%-14500000)))))</f>
        <v/>
      </c>
      <c r="P2" s="5">
        <f>IF(C2="","",K2-L2-O2)</f>
        <v/>
      </c>
    </row>
    <row r="3">
      <c r="A3" s="2" t="n">
        <v>2</v>
      </c>
      <c r="B3" s="3" t="inlineStr">
        <is>
          <t>NV002</t>
        </is>
      </c>
      <c r="C3" s="3" t="inlineStr">
        <is>
          <t>Trần Văn Hùng</t>
        </is>
      </c>
      <c r="D3" s="3" t="inlineStr">
        <is>
          <t>Kỹ thuật</t>
        </is>
      </c>
      <c r="E3" s="4" t="n">
        <v>35000000</v>
      </c>
      <c r="F3" s="4" t="n">
        <v>3000000</v>
      </c>
      <c r="G3" s="2" t="n">
        <v>26</v>
      </c>
      <c r="H3" s="2" t="n">
        <v>26</v>
      </c>
      <c r="I3" s="2" t="n">
        <v>2</v>
      </c>
      <c r="J3" s="5">
        <f>IF(C3="","",IFERROR(ROUND(E3/G3*H3,0),0))</f>
        <v/>
      </c>
      <c r="K3" s="5">
        <f>IF(C3="","",J3+F3)</f>
        <v/>
      </c>
      <c r="L3" s="5">
        <f>IF(C3="","",E3*10.5%)</f>
        <v/>
      </c>
      <c r="M3" s="5">
        <f>IF(C3="","",15500000+I3*6200000)</f>
        <v/>
      </c>
      <c r="N3" s="5">
        <f>IF(C3="","",MAX(0,K3-L3-M3))</f>
        <v/>
      </c>
      <c r="O3" s="5">
        <f>IF(C3="","",IF(N3&lt;=10000000,N3*5%,IF(N3&lt;=30000000,N3*10%-500000,IF(N3&lt;=60000000,N3*20%-3500000,IF(N3&lt;=100000000,N3*30%-9500000,N3*35%-14500000)))))</f>
        <v/>
      </c>
      <c r="P3" s="5">
        <f>IF(C3="","",K3-L3-O3)</f>
        <v/>
      </c>
    </row>
    <row r="4">
      <c r="A4" s="2" t="n">
        <v>3</v>
      </c>
      <c r="B4" s="3" t="inlineStr">
        <is>
          <t>NV003</t>
        </is>
      </c>
      <c r="C4" s="3" t="inlineStr">
        <is>
          <t>Lê Thu Hà</t>
        </is>
      </c>
      <c r="D4" s="3" t="inlineStr">
        <is>
          <t>Kế toán</t>
        </is>
      </c>
      <c r="E4" s="4" t="n">
        <v>12000000</v>
      </c>
      <c r="F4" s="4" t="n">
        <v>1500000</v>
      </c>
      <c r="G4" s="2" t="n">
        <v>26</v>
      </c>
      <c r="H4" s="2" t="n">
        <v>22</v>
      </c>
      <c r="I4" s="2" t="n">
        <v>1</v>
      </c>
      <c r="J4" s="5">
        <f>IF(C4="","",IFERROR(ROUND(E4/G4*H4,0),0))</f>
        <v/>
      </c>
      <c r="K4" s="5">
        <f>IF(C4="","",J4+F4)</f>
        <v/>
      </c>
      <c r="L4" s="5">
        <f>IF(C4="","",E4*10.5%)</f>
        <v/>
      </c>
      <c r="M4" s="5">
        <f>IF(C4="","",15500000+I4*6200000)</f>
        <v/>
      </c>
      <c r="N4" s="5">
        <f>IF(C4="","",MAX(0,K4-L4-M4))</f>
        <v/>
      </c>
      <c r="O4" s="5">
        <f>IF(C4="","",IF(N4&lt;=10000000,N4*5%,IF(N4&lt;=30000000,N4*10%-500000,IF(N4&lt;=60000000,N4*20%-3500000,IF(N4&lt;=100000000,N4*30%-9500000,N4*35%-14500000)))))</f>
        <v/>
      </c>
      <c r="P4" s="5">
        <f>IF(C4="","",K4-L4-O4)</f>
        <v/>
      </c>
    </row>
    <row r="5">
      <c r="A5" s="2" t="n">
        <v>4</v>
      </c>
      <c r="B5" s="3" t="inlineStr">
        <is>
          <t>NV004</t>
        </is>
      </c>
      <c r="C5" s="3" t="inlineStr">
        <is>
          <t>Phạm Minh Đức</t>
        </is>
      </c>
      <c r="D5" s="3" t="inlineStr">
        <is>
          <t>Kho vận</t>
        </is>
      </c>
      <c r="E5" s="4" t="n">
        <v>70000000</v>
      </c>
      <c r="F5" s="4" t="n">
        <v>5000000</v>
      </c>
      <c r="G5" s="2" t="n">
        <v>26</v>
      </c>
      <c r="H5" s="2" t="n">
        <v>25</v>
      </c>
      <c r="I5" s="2" t="n">
        <v>2</v>
      </c>
      <c r="J5" s="5">
        <f>IF(C5="","",IFERROR(ROUND(E5/G5*H5,0),0))</f>
        <v/>
      </c>
      <c r="K5" s="5">
        <f>IF(C5="","",J5+F5)</f>
        <v/>
      </c>
      <c r="L5" s="5">
        <f>IF(C5="","",E5*10.5%)</f>
        <v/>
      </c>
      <c r="M5" s="5">
        <f>IF(C5="","",15500000+I5*6200000)</f>
        <v/>
      </c>
      <c r="N5" s="5">
        <f>IF(C5="","",MAX(0,K5-L5-M5))</f>
        <v/>
      </c>
      <c r="O5" s="5">
        <f>IF(C5="","",IF(N5&lt;=10000000,N5*5%,IF(N5&lt;=30000000,N5*10%-500000,IF(N5&lt;=60000000,N5*20%-3500000,IF(N5&lt;=100000000,N5*30%-9500000,N5*35%-14500000)))))</f>
        <v/>
      </c>
      <c r="P5" s="5">
        <f>IF(C5="","",K5-L5-O5)</f>
        <v/>
      </c>
    </row>
    <row r="6">
      <c r="A6" s="2" t="n"/>
      <c r="B6" s="3" t="n"/>
      <c r="C6" s="3" t="n"/>
      <c r="D6" s="3" t="n"/>
      <c r="E6" s="4" t="n"/>
      <c r="F6" s="4" t="n"/>
      <c r="G6" s="2" t="n"/>
      <c r="H6" s="2" t="n"/>
      <c r="I6" s="2" t="n"/>
      <c r="J6" s="5">
        <f>IF(C6="","",IFERROR(ROUND(E6/G6*H6,0),0))</f>
        <v/>
      </c>
      <c r="K6" s="5">
        <f>IF(C6="","",J6+F6)</f>
        <v/>
      </c>
      <c r="L6" s="5">
        <f>IF(C6="","",E6*10.5%)</f>
        <v/>
      </c>
      <c r="M6" s="5">
        <f>IF(C6="","",15500000+I6*6200000)</f>
        <v/>
      </c>
      <c r="N6" s="5">
        <f>IF(C6="","",MAX(0,K6-L6-M6))</f>
        <v/>
      </c>
      <c r="O6" s="5">
        <f>IF(C6="","",IF(N6&lt;=10000000,N6*5%,IF(N6&lt;=30000000,N6*10%-500000,IF(N6&lt;=60000000,N6*20%-3500000,IF(N6&lt;=100000000,N6*30%-9500000,N6*35%-14500000)))))</f>
        <v/>
      </c>
      <c r="P6" s="5">
        <f>IF(C6="","",K6-L6-O6)</f>
        <v/>
      </c>
    </row>
    <row r="7">
      <c r="A7" s="2" t="n"/>
      <c r="B7" s="3" t="n"/>
      <c r="C7" s="3" t="n"/>
      <c r="D7" s="3" t="n"/>
      <c r="E7" s="4" t="n"/>
      <c r="F7" s="4" t="n"/>
      <c r="G7" s="2" t="n"/>
      <c r="H7" s="2" t="n"/>
      <c r="I7" s="2" t="n"/>
      <c r="J7" s="5">
        <f>IF(C7="","",IFERROR(ROUND(E7/G7*H7,0),0))</f>
        <v/>
      </c>
      <c r="K7" s="5">
        <f>IF(C7="","",J7+F7)</f>
        <v/>
      </c>
      <c r="L7" s="5">
        <f>IF(C7="","",E7*10.5%)</f>
        <v/>
      </c>
      <c r="M7" s="5">
        <f>IF(C7="","",15500000+I7*6200000)</f>
        <v/>
      </c>
      <c r="N7" s="5">
        <f>IF(C7="","",MAX(0,K7-L7-M7))</f>
        <v/>
      </c>
      <c r="O7" s="5">
        <f>IF(C7="","",IF(N7&lt;=10000000,N7*5%,IF(N7&lt;=30000000,N7*10%-500000,IF(N7&lt;=60000000,N7*20%-3500000,IF(N7&lt;=100000000,N7*30%-9500000,N7*35%-14500000)))))</f>
        <v/>
      </c>
      <c r="P7" s="5">
        <f>IF(C7="","",K7-L7-O7)</f>
        <v/>
      </c>
    </row>
    <row r="8">
      <c r="A8" s="2" t="n"/>
      <c r="B8" s="3" t="n"/>
      <c r="C8" s="3" t="n"/>
      <c r="D8" s="3" t="n"/>
      <c r="E8" s="4" t="n"/>
      <c r="F8" s="4" t="n"/>
      <c r="G8" s="2" t="n"/>
      <c r="H8" s="2" t="n"/>
      <c r="I8" s="2" t="n"/>
      <c r="J8" s="5">
        <f>IF(C8="","",IFERROR(ROUND(E8/G8*H8,0),0))</f>
        <v/>
      </c>
      <c r="K8" s="5">
        <f>IF(C8="","",J8+F8)</f>
        <v/>
      </c>
      <c r="L8" s="5">
        <f>IF(C8="","",E8*10.5%)</f>
        <v/>
      </c>
      <c r="M8" s="5">
        <f>IF(C8="","",15500000+I8*6200000)</f>
        <v/>
      </c>
      <c r="N8" s="5">
        <f>IF(C8="","",MAX(0,K8-L8-M8))</f>
        <v/>
      </c>
      <c r="O8" s="5">
        <f>IF(C8="","",IF(N8&lt;=10000000,N8*5%,IF(N8&lt;=30000000,N8*10%-500000,IF(N8&lt;=60000000,N8*20%-3500000,IF(N8&lt;=100000000,N8*30%-9500000,N8*35%-14500000)))))</f>
        <v/>
      </c>
      <c r="P8" s="5">
        <f>IF(C8="","",K8-L8-O8)</f>
        <v/>
      </c>
    </row>
    <row r="9">
      <c r="A9" s="2" t="n"/>
      <c r="B9" s="3" t="n"/>
      <c r="C9" s="3" t="n"/>
      <c r="D9" s="3" t="n"/>
      <c r="E9" s="4" t="n"/>
      <c r="F9" s="4" t="n"/>
      <c r="G9" s="2" t="n"/>
      <c r="H9" s="2" t="n"/>
      <c r="I9" s="2" t="n"/>
      <c r="J9" s="5">
        <f>IF(C9="","",IFERROR(ROUND(E9/G9*H9,0),0))</f>
        <v/>
      </c>
      <c r="K9" s="5">
        <f>IF(C9="","",J9+F9)</f>
        <v/>
      </c>
      <c r="L9" s="5">
        <f>IF(C9="","",E9*10.5%)</f>
        <v/>
      </c>
      <c r="M9" s="5">
        <f>IF(C9="","",15500000+I9*6200000)</f>
        <v/>
      </c>
      <c r="N9" s="5">
        <f>IF(C9="","",MAX(0,K9-L9-M9))</f>
        <v/>
      </c>
      <c r="O9" s="5">
        <f>IF(C9="","",IF(N9&lt;=10000000,N9*5%,IF(N9&lt;=30000000,N9*10%-500000,IF(N9&lt;=60000000,N9*20%-3500000,IF(N9&lt;=100000000,N9*30%-9500000,N9*35%-14500000)))))</f>
        <v/>
      </c>
      <c r="P9" s="5">
        <f>IF(C9="","",K9-L9-O9)</f>
        <v/>
      </c>
    </row>
    <row r="10">
      <c r="A10" s="2" t="n"/>
      <c r="B10" s="3" t="n"/>
      <c r="C10" s="3" t="n"/>
      <c r="D10" s="3" t="n"/>
      <c r="E10" s="4" t="n"/>
      <c r="F10" s="4" t="n"/>
      <c r="G10" s="2" t="n"/>
      <c r="H10" s="2" t="n"/>
      <c r="I10" s="2" t="n"/>
      <c r="J10" s="5">
        <f>IF(C10="","",IFERROR(ROUND(E10/G10*H10,0),0))</f>
        <v/>
      </c>
      <c r="K10" s="5">
        <f>IF(C10="","",J10+F10)</f>
        <v/>
      </c>
      <c r="L10" s="5">
        <f>IF(C10="","",E10*10.5%)</f>
        <v/>
      </c>
      <c r="M10" s="5">
        <f>IF(C10="","",15500000+I10*6200000)</f>
        <v/>
      </c>
      <c r="N10" s="5">
        <f>IF(C10="","",MAX(0,K10-L10-M10))</f>
        <v/>
      </c>
      <c r="O10" s="5">
        <f>IF(C10="","",IF(N10&lt;=10000000,N10*5%,IF(N10&lt;=30000000,N10*10%-500000,IF(N10&lt;=60000000,N10*20%-3500000,IF(N10&lt;=100000000,N10*30%-9500000,N10*35%-14500000)))))</f>
        <v/>
      </c>
      <c r="P10" s="5">
        <f>IF(C10="","",K10-L10-O10)</f>
        <v/>
      </c>
    </row>
    <row r="11">
      <c r="A11" s="2" t="n"/>
      <c r="B11" s="3" t="n"/>
      <c r="C11" s="3" t="n"/>
      <c r="D11" s="3" t="n"/>
      <c r="E11" s="4" t="n"/>
      <c r="F11" s="4" t="n"/>
      <c r="G11" s="2" t="n"/>
      <c r="H11" s="2" t="n"/>
      <c r="I11" s="2" t="n"/>
      <c r="J11" s="5">
        <f>IF(C11="","",IFERROR(ROUND(E11/G11*H11,0),0))</f>
        <v/>
      </c>
      <c r="K11" s="5">
        <f>IF(C11="","",J11+F11)</f>
        <v/>
      </c>
      <c r="L11" s="5">
        <f>IF(C11="","",E11*10.5%)</f>
        <v/>
      </c>
      <c r="M11" s="5">
        <f>IF(C11="","",15500000+I11*6200000)</f>
        <v/>
      </c>
      <c r="N11" s="5">
        <f>IF(C11="","",MAX(0,K11-L11-M11))</f>
        <v/>
      </c>
      <c r="O11" s="5">
        <f>IF(C11="","",IF(N11&lt;=10000000,N11*5%,IF(N11&lt;=30000000,N11*10%-500000,IF(N11&lt;=60000000,N11*20%-3500000,IF(N11&lt;=100000000,N11*30%-9500000,N11*35%-14500000)))))</f>
        <v/>
      </c>
      <c r="P11" s="5">
        <f>IF(C11="","",K11-L11-O11)</f>
        <v/>
      </c>
    </row>
    <row r="12">
      <c r="A12" s="2" t="n"/>
      <c r="B12" s="3" t="n"/>
      <c r="C12" s="3" t="n"/>
      <c r="D12" s="3" t="n"/>
      <c r="E12" s="4" t="n"/>
      <c r="F12" s="4" t="n"/>
      <c r="G12" s="2" t="n"/>
      <c r="H12" s="2" t="n"/>
      <c r="I12" s="2" t="n"/>
      <c r="J12" s="5">
        <f>IF(C12="","",IFERROR(ROUND(E12/G12*H12,0),0))</f>
        <v/>
      </c>
      <c r="K12" s="5">
        <f>IF(C12="","",J12+F12)</f>
        <v/>
      </c>
      <c r="L12" s="5">
        <f>IF(C12="","",E12*10.5%)</f>
        <v/>
      </c>
      <c r="M12" s="5">
        <f>IF(C12="","",15500000+I12*6200000)</f>
        <v/>
      </c>
      <c r="N12" s="5">
        <f>IF(C12="","",MAX(0,K12-L12-M12))</f>
        <v/>
      </c>
      <c r="O12" s="5">
        <f>IF(C12="","",IF(N12&lt;=10000000,N12*5%,IF(N12&lt;=30000000,N12*10%-500000,IF(N12&lt;=60000000,N12*20%-3500000,IF(N12&lt;=100000000,N12*30%-9500000,N12*35%-14500000)))))</f>
        <v/>
      </c>
      <c r="P12" s="5">
        <f>IF(C12="","",K12-L12-O12)</f>
        <v/>
      </c>
    </row>
    <row r="13">
      <c r="A13" s="2" t="n"/>
      <c r="B13" s="3" t="n"/>
      <c r="C13" s="3" t="n"/>
      <c r="D13" s="3" t="n"/>
      <c r="E13" s="4" t="n"/>
      <c r="F13" s="4" t="n"/>
      <c r="G13" s="2" t="n"/>
      <c r="H13" s="2" t="n"/>
      <c r="I13" s="2" t="n"/>
      <c r="J13" s="5">
        <f>IF(C13="","",IFERROR(ROUND(E13/G13*H13,0),0))</f>
        <v/>
      </c>
      <c r="K13" s="5">
        <f>IF(C13="","",J13+F13)</f>
        <v/>
      </c>
      <c r="L13" s="5">
        <f>IF(C13="","",E13*10.5%)</f>
        <v/>
      </c>
      <c r="M13" s="5">
        <f>IF(C13="","",15500000+I13*6200000)</f>
        <v/>
      </c>
      <c r="N13" s="5">
        <f>IF(C13="","",MAX(0,K13-L13-M13))</f>
        <v/>
      </c>
      <c r="O13" s="5">
        <f>IF(C13="","",IF(N13&lt;=10000000,N13*5%,IF(N13&lt;=30000000,N13*10%-500000,IF(N13&lt;=60000000,N13*20%-3500000,IF(N13&lt;=100000000,N13*30%-9500000,N13*35%-14500000)))))</f>
        <v/>
      </c>
      <c r="P13" s="5">
        <f>IF(C13="","",K13-L13-O13)</f>
        <v/>
      </c>
    </row>
    <row r="14">
      <c r="A14" s="2" t="n"/>
      <c r="B14" s="3" t="n"/>
      <c r="C14" s="3" t="n"/>
      <c r="D14" s="3" t="n"/>
      <c r="E14" s="4" t="n"/>
      <c r="F14" s="4" t="n"/>
      <c r="G14" s="2" t="n"/>
      <c r="H14" s="2" t="n"/>
      <c r="I14" s="2" t="n"/>
      <c r="J14" s="5">
        <f>IF(C14="","",IFERROR(ROUND(E14/G14*H14,0),0))</f>
        <v/>
      </c>
      <c r="K14" s="5">
        <f>IF(C14="","",J14+F14)</f>
        <v/>
      </c>
      <c r="L14" s="5">
        <f>IF(C14="","",E14*10.5%)</f>
        <v/>
      </c>
      <c r="M14" s="5">
        <f>IF(C14="","",15500000+I14*6200000)</f>
        <v/>
      </c>
      <c r="N14" s="5">
        <f>IF(C14="","",MAX(0,K14-L14-M14))</f>
        <v/>
      </c>
      <c r="O14" s="5">
        <f>IF(C14="","",IF(N14&lt;=10000000,N14*5%,IF(N14&lt;=30000000,N14*10%-500000,IF(N14&lt;=60000000,N14*20%-3500000,IF(N14&lt;=100000000,N14*30%-9500000,N14*35%-14500000)))))</f>
        <v/>
      </c>
      <c r="P14" s="5">
        <f>IF(C14="","",K14-L14-O14)</f>
        <v/>
      </c>
    </row>
    <row r="15">
      <c r="A15" s="2" t="n"/>
      <c r="B15" s="3" t="n"/>
      <c r="C15" s="3" t="n"/>
      <c r="D15" s="3" t="n"/>
      <c r="E15" s="4" t="n"/>
      <c r="F15" s="4" t="n"/>
      <c r="G15" s="2" t="n"/>
      <c r="H15" s="2" t="n"/>
      <c r="I15" s="2" t="n"/>
      <c r="J15" s="5">
        <f>IF(C15="","",IFERROR(ROUND(E15/G15*H15,0),0))</f>
        <v/>
      </c>
      <c r="K15" s="5">
        <f>IF(C15="","",J15+F15)</f>
        <v/>
      </c>
      <c r="L15" s="5">
        <f>IF(C15="","",E15*10.5%)</f>
        <v/>
      </c>
      <c r="M15" s="5">
        <f>IF(C15="","",15500000+I15*6200000)</f>
        <v/>
      </c>
      <c r="N15" s="5">
        <f>IF(C15="","",MAX(0,K15-L15-M15))</f>
        <v/>
      </c>
      <c r="O15" s="5">
        <f>IF(C15="","",IF(N15&lt;=10000000,N15*5%,IF(N15&lt;=30000000,N15*10%-500000,IF(N15&lt;=60000000,N15*20%-3500000,IF(N15&lt;=100000000,N15*30%-9500000,N15*35%-14500000)))))</f>
        <v/>
      </c>
      <c r="P15" s="5">
        <f>IF(C15="","",K15-L15-O15)</f>
        <v/>
      </c>
    </row>
    <row r="16">
      <c r="A16" s="2" t="n"/>
      <c r="B16" s="3" t="n"/>
      <c r="C16" s="3" t="n"/>
      <c r="D16" s="3" t="n"/>
      <c r="E16" s="4" t="n"/>
      <c r="F16" s="4" t="n"/>
      <c r="G16" s="2" t="n"/>
      <c r="H16" s="2" t="n"/>
      <c r="I16" s="2" t="n"/>
      <c r="J16" s="5">
        <f>IF(C16="","",IFERROR(ROUND(E16/G16*H16,0),0))</f>
        <v/>
      </c>
      <c r="K16" s="5">
        <f>IF(C16="","",J16+F16)</f>
        <v/>
      </c>
      <c r="L16" s="5">
        <f>IF(C16="","",E16*10.5%)</f>
        <v/>
      </c>
      <c r="M16" s="5">
        <f>IF(C16="","",15500000+I16*6200000)</f>
        <v/>
      </c>
      <c r="N16" s="5">
        <f>IF(C16="","",MAX(0,K16-L16-M16))</f>
        <v/>
      </c>
      <c r="O16" s="5">
        <f>IF(C16="","",IF(N16&lt;=10000000,N16*5%,IF(N16&lt;=30000000,N16*10%-500000,IF(N16&lt;=60000000,N16*20%-3500000,IF(N16&lt;=100000000,N16*30%-9500000,N16*35%-14500000)))))</f>
        <v/>
      </c>
      <c r="P16" s="5">
        <f>IF(C16="","",K16-L16-O16)</f>
        <v/>
      </c>
    </row>
    <row r="17">
      <c r="A17" s="2" t="n"/>
      <c r="B17" s="3" t="n"/>
      <c r="C17" s="3" t="n"/>
      <c r="D17" s="3" t="n"/>
      <c r="E17" s="4" t="n"/>
      <c r="F17" s="4" t="n"/>
      <c r="G17" s="2" t="n"/>
      <c r="H17" s="2" t="n"/>
      <c r="I17" s="2" t="n"/>
      <c r="J17" s="5">
        <f>IF(C17="","",IFERROR(ROUND(E17/G17*H17,0),0))</f>
        <v/>
      </c>
      <c r="K17" s="5">
        <f>IF(C17="","",J17+F17)</f>
        <v/>
      </c>
      <c r="L17" s="5">
        <f>IF(C17="","",E17*10.5%)</f>
        <v/>
      </c>
      <c r="M17" s="5">
        <f>IF(C17="","",15500000+I17*6200000)</f>
        <v/>
      </c>
      <c r="N17" s="5">
        <f>IF(C17="","",MAX(0,K17-L17-M17))</f>
        <v/>
      </c>
      <c r="O17" s="5">
        <f>IF(C17="","",IF(N17&lt;=10000000,N17*5%,IF(N17&lt;=30000000,N17*10%-500000,IF(N17&lt;=60000000,N17*20%-3500000,IF(N17&lt;=100000000,N17*30%-9500000,N17*35%-14500000)))))</f>
        <v/>
      </c>
      <c r="P17" s="5">
        <f>IF(C17="","",K17-L17-O17)</f>
        <v/>
      </c>
    </row>
    <row r="18">
      <c r="A18" s="2" t="n"/>
      <c r="B18" s="3" t="n"/>
      <c r="C18" s="3" t="n"/>
      <c r="D18" s="3" t="n"/>
      <c r="E18" s="4" t="n"/>
      <c r="F18" s="4" t="n"/>
      <c r="G18" s="2" t="n"/>
      <c r="H18" s="2" t="n"/>
      <c r="I18" s="2" t="n"/>
      <c r="J18" s="5">
        <f>IF(C18="","",IFERROR(ROUND(E18/G18*H18,0),0))</f>
        <v/>
      </c>
      <c r="K18" s="5">
        <f>IF(C18="","",J18+F18)</f>
        <v/>
      </c>
      <c r="L18" s="5">
        <f>IF(C18="","",E18*10.5%)</f>
        <v/>
      </c>
      <c r="M18" s="5">
        <f>IF(C18="","",15500000+I18*6200000)</f>
        <v/>
      </c>
      <c r="N18" s="5">
        <f>IF(C18="","",MAX(0,K18-L18-M18))</f>
        <v/>
      </c>
      <c r="O18" s="5">
        <f>IF(C18="","",IF(N18&lt;=10000000,N18*5%,IF(N18&lt;=30000000,N18*10%-500000,IF(N18&lt;=60000000,N18*20%-3500000,IF(N18&lt;=100000000,N18*30%-9500000,N18*35%-14500000)))))</f>
        <v/>
      </c>
      <c r="P18" s="5">
        <f>IF(C18="","",K18-L18-O18)</f>
        <v/>
      </c>
    </row>
    <row r="19">
      <c r="A19" s="2" t="n"/>
      <c r="B19" s="3" t="n"/>
      <c r="C19" s="3" t="n"/>
      <c r="D19" s="3" t="n"/>
      <c r="E19" s="4" t="n"/>
      <c r="F19" s="4" t="n"/>
      <c r="G19" s="2" t="n"/>
      <c r="H19" s="2" t="n"/>
      <c r="I19" s="2" t="n"/>
      <c r="J19" s="5">
        <f>IF(C19="","",IFERROR(ROUND(E19/G19*H19,0),0))</f>
        <v/>
      </c>
      <c r="K19" s="5">
        <f>IF(C19="","",J19+F19)</f>
        <v/>
      </c>
      <c r="L19" s="5">
        <f>IF(C19="","",E19*10.5%)</f>
        <v/>
      </c>
      <c r="M19" s="5">
        <f>IF(C19="","",15500000+I19*6200000)</f>
        <v/>
      </c>
      <c r="N19" s="5">
        <f>IF(C19="","",MAX(0,K19-L19-M19))</f>
        <v/>
      </c>
      <c r="O19" s="5">
        <f>IF(C19="","",IF(N19&lt;=10000000,N19*5%,IF(N19&lt;=30000000,N19*10%-500000,IF(N19&lt;=60000000,N19*20%-3500000,IF(N19&lt;=100000000,N19*30%-9500000,N19*35%-14500000)))))</f>
        <v/>
      </c>
      <c r="P19" s="5">
        <f>IF(C19="","",K19-L19-O19)</f>
        <v/>
      </c>
    </row>
    <row r="20">
      <c r="A20" s="2" t="n"/>
      <c r="B20" s="3" t="n"/>
      <c r="C20" s="3" t="n"/>
      <c r="D20" s="3" t="n"/>
      <c r="E20" s="4" t="n"/>
      <c r="F20" s="4" t="n"/>
      <c r="G20" s="2" t="n"/>
      <c r="H20" s="2" t="n"/>
      <c r="I20" s="2" t="n"/>
      <c r="J20" s="5">
        <f>IF(C20="","",IFERROR(ROUND(E20/G20*H20,0),0))</f>
        <v/>
      </c>
      <c r="K20" s="5">
        <f>IF(C20="","",J20+F20)</f>
        <v/>
      </c>
      <c r="L20" s="5">
        <f>IF(C20="","",E20*10.5%)</f>
        <v/>
      </c>
      <c r="M20" s="5">
        <f>IF(C20="","",15500000+I20*6200000)</f>
        <v/>
      </c>
      <c r="N20" s="5">
        <f>IF(C20="","",MAX(0,K20-L20-M20))</f>
        <v/>
      </c>
      <c r="O20" s="5">
        <f>IF(C20="","",IF(N20&lt;=10000000,N20*5%,IF(N20&lt;=30000000,N20*10%-500000,IF(N20&lt;=60000000,N20*20%-3500000,IF(N20&lt;=100000000,N20*30%-9500000,N20*35%-14500000)))))</f>
        <v/>
      </c>
      <c r="P20" s="5">
        <f>IF(C20="","",K20-L20-O20)</f>
        <v/>
      </c>
    </row>
    <row r="21">
      <c r="A21" s="2" t="n"/>
      <c r="B21" s="3" t="n"/>
      <c r="C21" s="3" t="n"/>
      <c r="D21" s="3" t="n"/>
      <c r="E21" s="4" t="n"/>
      <c r="F21" s="4" t="n"/>
      <c r="G21" s="2" t="n"/>
      <c r="H21" s="2" t="n"/>
      <c r="I21" s="2" t="n"/>
      <c r="J21" s="5">
        <f>IF(C21="","",IFERROR(ROUND(E21/G21*H21,0),0))</f>
        <v/>
      </c>
      <c r="K21" s="5">
        <f>IF(C21="","",J21+F21)</f>
        <v/>
      </c>
      <c r="L21" s="5">
        <f>IF(C21="","",E21*10.5%)</f>
        <v/>
      </c>
      <c r="M21" s="5">
        <f>IF(C21="","",15500000+I21*6200000)</f>
        <v/>
      </c>
      <c r="N21" s="5">
        <f>IF(C21="","",MAX(0,K21-L21-M21))</f>
        <v/>
      </c>
      <c r="O21" s="5">
        <f>IF(C21="","",IF(N21&lt;=10000000,N21*5%,IF(N21&lt;=30000000,N21*10%-500000,IF(N21&lt;=60000000,N21*20%-3500000,IF(N21&lt;=100000000,N21*30%-9500000,N21*35%-14500000)))))</f>
        <v/>
      </c>
      <c r="P21" s="5">
        <f>IF(C21="","",K21-L21-O21)</f>
        <v/>
      </c>
    </row>
    <row r="22">
      <c r="A22" s="2" t="n"/>
      <c r="B22" s="3" t="n"/>
      <c r="C22" s="3" t="n"/>
      <c r="D22" s="3" t="n"/>
      <c r="E22" s="4" t="n"/>
      <c r="F22" s="4" t="n"/>
      <c r="G22" s="2" t="n"/>
      <c r="H22" s="2" t="n"/>
      <c r="I22" s="2" t="n"/>
      <c r="J22" s="5">
        <f>IF(C22="","",IFERROR(ROUND(E22/G22*H22,0),0))</f>
        <v/>
      </c>
      <c r="K22" s="5">
        <f>IF(C22="","",J22+F22)</f>
        <v/>
      </c>
      <c r="L22" s="5">
        <f>IF(C22="","",E22*10.5%)</f>
        <v/>
      </c>
      <c r="M22" s="5">
        <f>IF(C22="","",15500000+I22*6200000)</f>
        <v/>
      </c>
      <c r="N22" s="5">
        <f>IF(C22="","",MAX(0,K22-L22-M22))</f>
        <v/>
      </c>
      <c r="O22" s="5">
        <f>IF(C22="","",IF(N22&lt;=10000000,N22*5%,IF(N22&lt;=30000000,N22*10%-500000,IF(N22&lt;=60000000,N22*20%-3500000,IF(N22&lt;=100000000,N22*30%-9500000,N22*35%-14500000)))))</f>
        <v/>
      </c>
      <c r="P22" s="5">
        <f>IF(C22="","",K22-L22-O22)</f>
        <v/>
      </c>
    </row>
    <row r="23">
      <c r="A23" s="2" t="n"/>
      <c r="B23" s="3" t="n"/>
      <c r="C23" s="3" t="n"/>
      <c r="D23" s="3" t="n"/>
      <c r="E23" s="4" t="n"/>
      <c r="F23" s="4" t="n"/>
      <c r="G23" s="2" t="n"/>
      <c r="H23" s="2" t="n"/>
      <c r="I23" s="2" t="n"/>
      <c r="J23" s="5">
        <f>IF(C23="","",IFERROR(ROUND(E23/G23*H23,0),0))</f>
        <v/>
      </c>
      <c r="K23" s="5">
        <f>IF(C23="","",J23+F23)</f>
        <v/>
      </c>
      <c r="L23" s="5">
        <f>IF(C23="","",E23*10.5%)</f>
        <v/>
      </c>
      <c r="M23" s="5">
        <f>IF(C23="","",15500000+I23*6200000)</f>
        <v/>
      </c>
      <c r="N23" s="5">
        <f>IF(C23="","",MAX(0,K23-L23-M23))</f>
        <v/>
      </c>
      <c r="O23" s="5">
        <f>IF(C23="","",IF(N23&lt;=10000000,N23*5%,IF(N23&lt;=30000000,N23*10%-500000,IF(N23&lt;=60000000,N23*20%-3500000,IF(N23&lt;=100000000,N23*30%-9500000,N23*35%-14500000)))))</f>
        <v/>
      </c>
      <c r="P23" s="5">
        <f>IF(C23="","",K23-L23-O23)</f>
        <v/>
      </c>
    </row>
    <row r="24">
      <c r="A24" s="2" t="n"/>
      <c r="B24" s="3" t="n"/>
      <c r="C24" s="3" t="n"/>
      <c r="D24" s="3" t="n"/>
      <c r="E24" s="4" t="n"/>
      <c r="F24" s="4" t="n"/>
      <c r="G24" s="2" t="n"/>
      <c r="H24" s="2" t="n"/>
      <c r="I24" s="2" t="n"/>
      <c r="J24" s="5">
        <f>IF(C24="","",IFERROR(ROUND(E24/G24*H24,0),0))</f>
        <v/>
      </c>
      <c r="K24" s="5">
        <f>IF(C24="","",J24+F24)</f>
        <v/>
      </c>
      <c r="L24" s="5">
        <f>IF(C24="","",E24*10.5%)</f>
        <v/>
      </c>
      <c r="M24" s="5">
        <f>IF(C24="","",15500000+I24*6200000)</f>
        <v/>
      </c>
      <c r="N24" s="5">
        <f>IF(C24="","",MAX(0,K24-L24-M24))</f>
        <v/>
      </c>
      <c r="O24" s="5">
        <f>IF(C24="","",IF(N24&lt;=10000000,N24*5%,IF(N24&lt;=30000000,N24*10%-500000,IF(N24&lt;=60000000,N24*20%-3500000,IF(N24&lt;=100000000,N24*30%-9500000,N24*35%-14500000)))))</f>
        <v/>
      </c>
      <c r="P24" s="5">
        <f>IF(C24="","",K24-L24-O24)</f>
        <v/>
      </c>
    </row>
    <row r="25">
      <c r="A25" s="2" t="n"/>
      <c r="B25" s="3" t="n"/>
      <c r="C25" s="3" t="n"/>
      <c r="D25" s="3" t="n"/>
      <c r="E25" s="4" t="n"/>
      <c r="F25" s="4" t="n"/>
      <c r="G25" s="2" t="n"/>
      <c r="H25" s="2" t="n"/>
      <c r="I25" s="2" t="n"/>
      <c r="J25" s="5">
        <f>IF(C25="","",IFERROR(ROUND(E25/G25*H25,0),0))</f>
        <v/>
      </c>
      <c r="K25" s="5">
        <f>IF(C25="","",J25+F25)</f>
        <v/>
      </c>
      <c r="L25" s="5">
        <f>IF(C25="","",E25*10.5%)</f>
        <v/>
      </c>
      <c r="M25" s="5">
        <f>IF(C25="","",15500000+I25*6200000)</f>
        <v/>
      </c>
      <c r="N25" s="5">
        <f>IF(C25="","",MAX(0,K25-L25-M25))</f>
        <v/>
      </c>
      <c r="O25" s="5">
        <f>IF(C25="","",IF(N25&lt;=10000000,N25*5%,IF(N25&lt;=30000000,N25*10%-500000,IF(N25&lt;=60000000,N25*20%-3500000,IF(N25&lt;=100000000,N25*30%-9500000,N25*35%-14500000)))))</f>
        <v/>
      </c>
      <c r="P25" s="5">
        <f>IF(C25="","",K25-L25-O25)</f>
        <v/>
      </c>
    </row>
  </sheetData>
  <autoFilter ref="A1:P25"/>
  <dataValidations count="6">
    <dataValidation sqref="D2:D25" showDropDown="0" showInputMessage="0" showErrorMessage="0" allowBlank="1" errorTitle="Sai định dạng" error="Giá trị không hợp lệ cho cột này." type="list">
      <formula1>"Kinh doanh,Kế toán,Nhân sự,Kỹ thuật,Kho vận"</formula1>
    </dataValidation>
    <dataValidation sqref="E2:E25" showDropDown="0" showInputMessage="0" showErrorMessage="0" allowBlank="1" errorTitle="Sai định dạng" error="Giá trị không hợp lệ cho cột này." type="decimal" operator="between">
      <formula1>0</formula1>
      <formula2>1000000000</formula2>
    </dataValidation>
    <dataValidation sqref="F2:F25" showDropDown="0" showInputMessage="0" showErrorMessage="0" allowBlank="1" errorTitle="Sai định dạng" error="Giá trị không hợp lệ cho cột này." type="decimal" operator="between">
      <formula1>0</formula1>
      <formula2>1000000000</formula2>
    </dataValidation>
    <dataValidation sqref="G2:G25" showDropDown="0" showInputMessage="0" showErrorMessage="0" allowBlank="1" errorTitle="Sai định dạng" error="Giá trị không hợp lệ cho cột này." type="decimal" operator="between">
      <formula1>1</formula1>
      <formula2>31</formula2>
    </dataValidation>
    <dataValidation sqref="H2:H25" showDropDown="0" showInputMessage="0" showErrorMessage="0" allowBlank="1" errorTitle="Sai định dạng" error="Giá trị không hợp lệ cho cột này." type="decimal" operator="between">
      <formula1>0</formula1>
      <formula2>31</formula2>
    </dataValidation>
    <dataValidation sqref="I2:I25" showDropDown="0" showInputMessage="0" showErrorMessage="0" allowBlank="1" errorTitle="Sai định dạng" error="Giá trị không hợp lệ cho cột này." type="whole" operator="between">
      <formula1>0</formula1>
      <formula2>20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32"/>
  <sheetViews>
    <sheetView workbookViewId="0">
      <selection activeCell="A1" sqref="A1"/>
    </sheetView>
  </sheetViews>
  <sheetFormatPr baseColWidth="8" defaultRowHeight="15"/>
  <cols>
    <col width="4" customWidth="1" min="1" max="1"/>
    <col width="100" customWidth="1" min="2" max="2"/>
  </cols>
  <sheetData>
    <row r="1">
      <c r="B1" s="6" t="inlineStr">
        <is>
          <t>Mẫu Excel tính lương nhân viên 2026 (đã cập nhật thuế TNCN mới)</t>
        </is>
      </c>
    </row>
    <row r="2">
      <c r="B2" s="7" t="inlineStr"/>
    </row>
    <row r="3">
      <c r="B3" s="8" t="inlineStr">
        <is>
          <t>CÁCH DÙNG</t>
        </is>
      </c>
    </row>
    <row r="4">
      <c r="B4" s="9" t="inlineStr">
        <is>
          <t>1. Nhập thông tin và lương cơ bản</t>
        </is>
      </c>
    </row>
    <row r="5">
      <c r="B5" s="7" t="inlineStr">
        <is>
          <t xml:space="preserve">   Điền mã nhân viên, họ tên và mức lương cơ bản ghi trên hợp đồng lao động. Đây là mức dùng làm căn cứ đóng bảo hiểm bắt buộc.</t>
        </is>
      </c>
    </row>
    <row r="6">
      <c r="B6" s="9" t="inlineStr">
        <is>
          <t>2. Nhập phụ cấp</t>
        </is>
      </c>
    </row>
    <row r="7">
      <c r="B7" s="7" t="inlineStr">
        <is>
          <t xml:space="preserve">   Điền tổng các khoản phụ cấp trong tháng như ăn trưa, xăng xe, điện thoại. Các khoản này cộng vào tổng thu nhập nhưng không dùng làm căn cứ tính bảo hiểm trong mẫu này.</t>
        </is>
      </c>
    </row>
    <row r="8">
      <c r="B8" s="9" t="inlineStr">
        <is>
          <t>3. Nhập công chuẩn và công hưởng lương</t>
        </is>
      </c>
    </row>
    <row r="9">
      <c r="B9" s="7" t="inlineStr">
        <is>
          <t xml:space="preserve">   Công chuẩn là số ngày làm việc theo quy định của tháng đó. Công hưởng lương lấy từ bảng chấm công, là ngày công thực tế cộng ngày nghỉ phép có hưởng lương — không cộng ngày nghỉ không lương. Hai cột này quyết định cột Lương theo công.</t>
        </is>
      </c>
    </row>
    <row r="10">
      <c r="B10" s="9" t="inlineStr">
        <is>
          <t>4. Nhập số người phụ thuộc</t>
        </is>
      </c>
    </row>
    <row r="11">
      <c r="B11" s="7" t="inlineStr">
        <is>
          <t xml:space="preserve">   Điền số người phụ thuộc đã đăng ký với cơ quan thuế của từng nhân viên. Mỗi người phụ thuộc được giảm trừ 6,2 triệu đồng một tháng, ảnh hưởng trực tiếp tới số thuế phải nộp.</t>
        </is>
      </c>
    </row>
    <row r="12">
      <c r="B12" s="9" t="inlineStr">
        <is>
          <t>5. Đọc kết quả</t>
        </is>
      </c>
    </row>
    <row r="13">
      <c r="B13" s="7" t="inlineStr">
        <is>
          <t xml:space="preserve">   Bảy cột cuối tự tính toàn bộ: lương theo công, tổng thu nhập, bảo hiểm, giảm trừ, thu nhập tính thuế, thuế TNCN và lương thực lĩnh. Bạn không cần nhập gì vào các cột này.</t>
        </is>
      </c>
    </row>
    <row r="14">
      <c r="B14" s="7" t="inlineStr"/>
    </row>
    <row r="15">
      <c r="B15" s="8" t="inlineStr">
        <is>
          <t>CÔNG THỨC TRONG FILE</t>
        </is>
      </c>
    </row>
    <row r="16">
      <c r="B16" s="9" t="inlineStr">
        <is>
          <t>Lương theo công  —  =IF(C2="","",IFERROR(ROUND(E2/G2*H2,0),0))</t>
        </is>
      </c>
    </row>
    <row r="17">
      <c r="B17" s="7" t="inlineStr">
        <is>
          <t xml:space="preserve">   Lương cơ bản chia công chuẩn ra đơn giá một ngày công, rồi nhân với số công thực sự được hưởng lương. Người đi làm đủ công thì cột này bằng đúng lương cơ bản; nghỉ không lương bao nhiêu ngày thì hụt đi bấy nhiêu ngày công.</t>
        </is>
      </c>
    </row>
    <row r="18">
      <c r="B18" s="9" t="inlineStr">
        <is>
          <t>Tổng thu nhập  —  =IF(C2="","",J2+F2)</t>
        </is>
      </c>
    </row>
    <row r="19">
      <c r="B19" s="7" t="inlineStr">
        <is>
          <t xml:space="preserve">   Cộng lương theo công với phụ cấp để ra tổng thu nhập trước khi trừ bảo hiểm và thuế. Lấy lương theo công chứ không lấy thẳng lương cơ bản, nếu không thì người nghỉ nửa tháng vẫn nhận đủ lương.</t>
        </is>
      </c>
    </row>
    <row r="20">
      <c r="B20" s="9" t="inlineStr">
        <is>
          <t>Bảo hiểm (10,5%)  —  =IF(C2="","",E2*10.5%)</t>
        </is>
      </c>
    </row>
    <row r="21">
      <c r="B21" s="7" t="inlineStr">
        <is>
          <t xml:space="preserve">   Phần người lao động đóng: bảo hiểm xã hội 8% cộng y tế 1,5% cộng thất nghiệp 1%. Tính trên lương cơ bản, không tính trên phụ cấp.</t>
        </is>
      </c>
    </row>
    <row r="22">
      <c r="B22" s="9" t="inlineStr">
        <is>
          <t>Giảm trừ gia cảnh  —  =IF(C2="","",15500000+I2*6200000)</t>
        </is>
      </c>
    </row>
    <row r="23">
      <c r="B23" s="7" t="inlineStr">
        <is>
          <t xml:space="preserve">   Giảm trừ bản thân 15.500.000đ cộng 6.200.000đ cho mỗi người phụ thuộc, theo mức áp dụng từ kỳ tính thuế 2026. Sửa hai con số này nếu quy định thay đổi.</t>
        </is>
      </c>
    </row>
    <row r="24">
      <c r="B24" s="9" t="inlineStr">
        <is>
          <t>Thu nhập tính thuế  —  =IF(C2="","",MAX(0,K2-L2-M2))</t>
        </is>
      </c>
    </row>
    <row r="25">
      <c r="B25" s="7" t="inlineStr">
        <is>
          <t xml:space="preserve">   Lấy tổng thu nhập trừ bảo hiểm và giảm trừ gia cảnh. Bọc MAX với 0 để thu nhập thấp hơn mức giảm trừ thì trả về 0 thay vì số âm.</t>
        </is>
      </c>
    </row>
    <row r="26">
      <c r="B26" s="9" t="inlineStr">
        <is>
          <t>Thuế TNCN  —  =IF(C2="","",IF(N2&lt;=10000000,N2*5%,IF(N2&lt;=30000000,N2*10%-500000,IF(N2&lt;=60000000,N2*20%-3500000,IF(N2&lt;=100000000,N2*30%-9500000,N2*35%-14500000)))))</t>
        </is>
      </c>
    </row>
    <row r="27">
      <c r="B27" s="7" t="inlineStr">
        <is>
          <t xml:space="preserve">   Biểu lũy tiến 5 bậc năm 2026 viết theo cách tính rút gọn: mỗi bậc lấy thu nhập nhân thuế suất rồi trừ đi một số cố định, thay vì phải tách thu nhập ra từng phần. Các số trừ 500.000, 3.500.000, 9.500.000 và 14.500.000 chính là phần chênh lệch tích lũy giữa các bậc.</t>
        </is>
      </c>
    </row>
    <row r="28">
      <c r="B28" s="9" t="inlineStr">
        <is>
          <t>Thực lĩnh  —  =IF(C2="","",K2-L2-O2)</t>
        </is>
      </c>
    </row>
    <row r="29">
      <c r="B29" s="7" t="inlineStr">
        <is>
          <t xml:space="preserve">   Tổng thu nhập trừ bảo hiểm và thuế TNCN. Đây là số tiền thực nhận của nhân viên.</t>
        </is>
      </c>
    </row>
    <row r="30">
      <c r="B30" s="7" t="inlineStr"/>
    </row>
    <row r="31">
      <c r="B31" s="9" t="inlineStr">
        <is>
          <t>Bản cập nhật mới nhất và hướng dẫn chi tiết:</t>
        </is>
      </c>
    </row>
    <row r="32">
      <c r="B32" s="10" t="inlineStr">
        <is>
          <t>https://excel.nguyenvietloc.com/mau-excel/nhan-su/bang-tinh-luong-nhan-vien</t>
        </is>
      </c>
    </row>
  </sheetData>
  <hyperlinks>
    <hyperlink xmlns:r="http://schemas.openxmlformats.org/officeDocument/2006/relationships" ref="B3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2026-07-28T15:22:13Z</dcterms:created>
  <dcterms:modified xsi:type="dcterms:W3CDTF">2026-07-28T15:22:13Z</dcterms:modified>
</cp:coreProperties>
</file>