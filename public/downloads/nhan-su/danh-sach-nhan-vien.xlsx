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nh sách NV" sheetId="1" state="visible" r:id="rId1"/>
    <sheet name="Hướng dẫn" sheetId="2" state="visible" r:id="rId2"/>
  </sheets>
  <definedNames>
    <definedName name="_xlnm._FilterDatabase" localSheetId="0" hidden="1">'Danh sách NV'!$A$1:$L$31</definedName>
  </definedNames>
  <calcPr calcId="124519" fullCalcOnLoad="1"/>
</workbook>
</file>

<file path=xl/styles.xml><?xml version="1.0" encoding="utf-8"?>
<styleSheet xmlns="http://schemas.openxmlformats.org/spreadsheetml/2006/main">
  <numFmts count="4">
    <numFmt numFmtId="164" formatCode="#,##0.##"/>
    <numFmt numFmtId="165" formatCode="yyyy-mm-dd"/>
    <numFmt numFmtId="166" formatCode="dd/mm/yyyy"/>
    <numFmt numFmtId="167" formatCode="#,##0 &quot;₫&quot;"/>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6" fontId="0" fillId="0" borderId="1" pivotButton="0" quotePrefix="0" xfId="0"/>
    <xf numFmtId="167" fontId="0" fillId="0" borderId="1" pivotButton="0" quotePrefix="0" xfId="0"/>
    <xf numFmtId="164" fontId="0" fillId="3" borderId="1" pivotButton="0" quotePrefix="0" xfId="0"/>
    <xf numFmtId="167"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nhan-su/danh-sach-nhan-vien" TargetMode="External" Id="rId1" /></Relationships>
</file>

<file path=xl/worksheets/sheet1.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4" customWidth="1" min="3" max="3"/>
    <col width="18" customWidth="1" min="4" max="4"/>
    <col width="22" customWidth="1" min="5" max="5"/>
    <col width="14" customWidth="1" min="6" max="6"/>
    <col width="14" customWidth="1" min="7" max="7"/>
    <col width="16" customWidth="1" min="8" max="8"/>
    <col width="14" customWidth="1" min="9" max="9"/>
    <col width="16" customWidth="1" min="10" max="10"/>
    <col width="14" customWidth="1" min="11" max="11"/>
    <col width="18" customWidth="1" min="12" max="12"/>
  </cols>
  <sheetData>
    <row r="1" ht="32" customHeight="1">
      <c r="A1" s="1" t="inlineStr">
        <is>
          <t>STT</t>
        </is>
      </c>
      <c r="B1" s="1" t="inlineStr">
        <is>
          <t>Mã NV</t>
        </is>
      </c>
      <c r="C1" s="1" t="inlineStr">
        <is>
          <t>Họ và tên</t>
        </is>
      </c>
      <c r="D1" s="1" t="inlineStr">
        <is>
          <t>Bộ phận</t>
        </is>
      </c>
      <c r="E1" s="1" t="inlineStr">
        <is>
          <t>Chức danh</t>
        </is>
      </c>
      <c r="F1" s="1" t="inlineStr">
        <is>
          <t>Ngày vào làm</t>
        </is>
      </c>
      <c r="G1" s="1" t="inlineStr">
        <is>
          <t>Ngày nghỉ việc</t>
        </is>
      </c>
      <c r="H1" s="1" t="inlineStr">
        <is>
          <t>Lương cơ bản</t>
        </is>
      </c>
      <c r="I1" s="1" t="inlineStr">
        <is>
          <t>Phụ cấp</t>
        </is>
      </c>
      <c r="J1" s="1" t="inlineStr">
        <is>
          <t>Số người phụ thuộc</t>
        </is>
      </c>
      <c r="K1" s="1" t="inlineStr">
        <is>
          <t>Trạng thái</t>
        </is>
      </c>
      <c r="L1" s="1" t="inlineStr">
        <is>
          <t>Thu nhập cố định</t>
        </is>
      </c>
    </row>
    <row r="2">
      <c r="A2" s="2" t="n">
        <v>1</v>
      </c>
      <c r="B2" s="3" t="inlineStr">
        <is>
          <t>NV001</t>
        </is>
      </c>
      <c r="C2" s="3" t="inlineStr">
        <is>
          <t>Nguyễn Thị Mai</t>
        </is>
      </c>
      <c r="D2" s="3" t="inlineStr">
        <is>
          <t>Kinh doanh</t>
        </is>
      </c>
      <c r="E2" s="3" t="inlineStr">
        <is>
          <t>Nhân viên kinh doanh</t>
        </is>
      </c>
      <c r="F2" s="4" t="n">
        <v>44991</v>
      </c>
      <c r="G2" s="4" t="n"/>
      <c r="H2" s="5" t="n">
        <v>18000000</v>
      </c>
      <c r="I2" s="5" t="n">
        <v>2000000</v>
      </c>
      <c r="J2" s="2" t="n">
        <v>0</v>
      </c>
      <c r="K2" s="6">
        <f>IF(C2="","",IF(G2="","Đang làm","Đã nghỉ"))</f>
        <v/>
      </c>
      <c r="L2" s="7">
        <f>IF(C2="","",IF(K2="Đã nghỉ",0,H2+I2))</f>
        <v/>
      </c>
    </row>
    <row r="3">
      <c r="A3" s="2" t="n">
        <v>2</v>
      </c>
      <c r="B3" s="3" t="inlineStr">
        <is>
          <t>NV002</t>
        </is>
      </c>
      <c r="C3" s="3" t="inlineStr">
        <is>
          <t>Trần Văn Hùng</t>
        </is>
      </c>
      <c r="D3" s="3" t="inlineStr">
        <is>
          <t>Kỹ thuật</t>
        </is>
      </c>
      <c r="E3" s="3" t="inlineStr">
        <is>
          <t>Trưởng phòng kỹ thuật</t>
        </is>
      </c>
      <c r="F3" s="4" t="n">
        <v>44424</v>
      </c>
      <c r="G3" s="4" t="n"/>
      <c r="H3" s="5" t="n">
        <v>35000000</v>
      </c>
      <c r="I3" s="5" t="n">
        <v>3000000</v>
      </c>
      <c r="J3" s="2" t="n">
        <v>2</v>
      </c>
      <c r="K3" s="6">
        <f>IF(C3="","",IF(G3="","Đang làm","Đã nghỉ"))</f>
        <v/>
      </c>
      <c r="L3" s="7">
        <f>IF(C3="","",IF(K3="Đã nghỉ",0,H3+I3))</f>
        <v/>
      </c>
    </row>
    <row r="4">
      <c r="A4" s="2" t="n">
        <v>3</v>
      </c>
      <c r="B4" s="3" t="inlineStr">
        <is>
          <t>NV003</t>
        </is>
      </c>
      <c r="C4" s="3" t="inlineStr">
        <is>
          <t>Lê Thu Hà</t>
        </is>
      </c>
      <c r="D4" s="3" t="inlineStr">
        <is>
          <t>Kế toán</t>
        </is>
      </c>
      <c r="E4" s="3" t="inlineStr">
        <is>
          <t>Kế toán tổng hợp</t>
        </is>
      </c>
      <c r="F4" s="4" t="n">
        <v>45293</v>
      </c>
      <c r="G4" s="4" t="n"/>
      <c r="H4" s="5" t="n">
        <v>12000000</v>
      </c>
      <c r="I4" s="5" t="n">
        <v>1500000</v>
      </c>
      <c r="J4" s="2" t="n">
        <v>1</v>
      </c>
      <c r="K4" s="6">
        <f>IF(C4="","",IF(G4="","Đang làm","Đã nghỉ"))</f>
        <v/>
      </c>
      <c r="L4" s="7">
        <f>IF(C4="","",IF(K4="Đã nghỉ",0,H4+I4))</f>
        <v/>
      </c>
    </row>
    <row r="5">
      <c r="A5" s="2" t="n">
        <v>4</v>
      </c>
      <c r="B5" s="3" t="inlineStr">
        <is>
          <t>NV004</t>
        </is>
      </c>
      <c r="C5" s="3" t="inlineStr">
        <is>
          <t>Phạm Minh Đức</t>
        </is>
      </c>
      <c r="D5" s="3" t="inlineStr">
        <is>
          <t>Kho vận</t>
        </is>
      </c>
      <c r="E5" s="3" t="inlineStr">
        <is>
          <t>Giám đốc vận hành</t>
        </is>
      </c>
      <c r="F5" s="4" t="n">
        <v>43955</v>
      </c>
      <c r="G5" s="4" t="n"/>
      <c r="H5" s="5" t="n">
        <v>70000000</v>
      </c>
      <c r="I5" s="5" t="n">
        <v>5000000</v>
      </c>
      <c r="J5" s="2" t="n">
        <v>2</v>
      </c>
      <c r="K5" s="6">
        <f>IF(C5="","",IF(G5="","Đang làm","Đã nghỉ"))</f>
        <v/>
      </c>
      <c r="L5" s="7">
        <f>IF(C5="","",IF(K5="Đã nghỉ",0,H5+I5))</f>
        <v/>
      </c>
    </row>
    <row r="6">
      <c r="A6" s="2" t="n">
        <v>5</v>
      </c>
      <c r="B6" s="3" t="inlineStr">
        <is>
          <t>NV005</t>
        </is>
      </c>
      <c r="C6" s="3" t="inlineStr">
        <is>
          <t>Vũ Hải Yến</t>
        </is>
      </c>
      <c r="D6" s="3" t="inlineStr">
        <is>
          <t>Nhân sự</t>
        </is>
      </c>
      <c r="E6" s="3" t="inlineStr">
        <is>
          <t>Chuyên viên tuyển dụng</t>
        </is>
      </c>
      <c r="F6" s="4" t="n">
        <v>44866</v>
      </c>
      <c r="G6" s="4" t="n">
        <v>46203</v>
      </c>
      <c r="H6" s="5" t="n">
        <v>15000000</v>
      </c>
      <c r="I6" s="5" t="n">
        <v>1500000</v>
      </c>
      <c r="J6" s="2" t="n">
        <v>0</v>
      </c>
      <c r="K6" s="6">
        <f>IF(C6="","",IF(G6="","Đang làm","Đã nghỉ"))</f>
        <v/>
      </c>
      <c r="L6" s="7">
        <f>IF(C6="","",IF(K6="Đã nghỉ",0,H6+I6))</f>
        <v/>
      </c>
    </row>
    <row r="7">
      <c r="A7" s="2" t="n"/>
      <c r="B7" s="3" t="n"/>
      <c r="C7" s="3" t="n"/>
      <c r="D7" s="3" t="n"/>
      <c r="E7" s="3" t="n"/>
      <c r="F7" s="4" t="n"/>
      <c r="G7" s="4" t="n"/>
      <c r="H7" s="5" t="n"/>
      <c r="I7" s="5" t="n"/>
      <c r="J7" s="2" t="n"/>
      <c r="K7" s="6">
        <f>IF(C7="","",IF(G7="","Đang làm","Đã nghỉ"))</f>
        <v/>
      </c>
      <c r="L7" s="7">
        <f>IF(C7="","",IF(K7="Đã nghỉ",0,H7+I7))</f>
        <v/>
      </c>
    </row>
    <row r="8">
      <c r="A8" s="2" t="n"/>
      <c r="B8" s="3" t="n"/>
      <c r="C8" s="3" t="n"/>
      <c r="D8" s="3" t="n"/>
      <c r="E8" s="3" t="n"/>
      <c r="F8" s="4" t="n"/>
      <c r="G8" s="4" t="n"/>
      <c r="H8" s="5" t="n"/>
      <c r="I8" s="5" t="n"/>
      <c r="J8" s="2" t="n"/>
      <c r="K8" s="6">
        <f>IF(C8="","",IF(G8="","Đang làm","Đã nghỉ"))</f>
        <v/>
      </c>
      <c r="L8" s="7">
        <f>IF(C8="","",IF(K8="Đã nghỉ",0,H8+I8))</f>
        <v/>
      </c>
    </row>
    <row r="9">
      <c r="A9" s="2" t="n"/>
      <c r="B9" s="3" t="n"/>
      <c r="C9" s="3" t="n"/>
      <c r="D9" s="3" t="n"/>
      <c r="E9" s="3" t="n"/>
      <c r="F9" s="4" t="n"/>
      <c r="G9" s="4" t="n"/>
      <c r="H9" s="5" t="n"/>
      <c r="I9" s="5" t="n"/>
      <c r="J9" s="2" t="n"/>
      <c r="K9" s="6">
        <f>IF(C9="","",IF(G9="","Đang làm","Đã nghỉ"))</f>
        <v/>
      </c>
      <c r="L9" s="7">
        <f>IF(C9="","",IF(K9="Đã nghỉ",0,H9+I9))</f>
        <v/>
      </c>
    </row>
    <row r="10">
      <c r="A10" s="2" t="n"/>
      <c r="B10" s="3" t="n"/>
      <c r="C10" s="3" t="n"/>
      <c r="D10" s="3" t="n"/>
      <c r="E10" s="3" t="n"/>
      <c r="F10" s="4" t="n"/>
      <c r="G10" s="4" t="n"/>
      <c r="H10" s="5" t="n"/>
      <c r="I10" s="5" t="n"/>
      <c r="J10" s="2" t="n"/>
      <c r="K10" s="6">
        <f>IF(C10="","",IF(G10="","Đang làm","Đã nghỉ"))</f>
        <v/>
      </c>
      <c r="L10" s="7">
        <f>IF(C10="","",IF(K10="Đã nghỉ",0,H10+I10))</f>
        <v/>
      </c>
    </row>
    <row r="11">
      <c r="A11" s="2" t="n"/>
      <c r="B11" s="3" t="n"/>
      <c r="C11" s="3" t="n"/>
      <c r="D11" s="3" t="n"/>
      <c r="E11" s="3" t="n"/>
      <c r="F11" s="4" t="n"/>
      <c r="G11" s="4" t="n"/>
      <c r="H11" s="5" t="n"/>
      <c r="I11" s="5" t="n"/>
      <c r="J11" s="2" t="n"/>
      <c r="K11" s="6">
        <f>IF(C11="","",IF(G11="","Đang làm","Đã nghỉ"))</f>
        <v/>
      </c>
      <c r="L11" s="7">
        <f>IF(C11="","",IF(K11="Đã nghỉ",0,H11+I11))</f>
        <v/>
      </c>
    </row>
    <row r="12">
      <c r="A12" s="2" t="n"/>
      <c r="B12" s="3" t="n"/>
      <c r="C12" s="3" t="n"/>
      <c r="D12" s="3" t="n"/>
      <c r="E12" s="3" t="n"/>
      <c r="F12" s="4" t="n"/>
      <c r="G12" s="4" t="n"/>
      <c r="H12" s="5" t="n"/>
      <c r="I12" s="5" t="n"/>
      <c r="J12" s="2" t="n"/>
      <c r="K12" s="6">
        <f>IF(C12="","",IF(G12="","Đang làm","Đã nghỉ"))</f>
        <v/>
      </c>
      <c r="L12" s="7">
        <f>IF(C12="","",IF(K12="Đã nghỉ",0,H12+I12))</f>
        <v/>
      </c>
    </row>
    <row r="13">
      <c r="A13" s="2" t="n"/>
      <c r="B13" s="3" t="n"/>
      <c r="C13" s="3" t="n"/>
      <c r="D13" s="3" t="n"/>
      <c r="E13" s="3" t="n"/>
      <c r="F13" s="4" t="n"/>
      <c r="G13" s="4" t="n"/>
      <c r="H13" s="5" t="n"/>
      <c r="I13" s="5" t="n"/>
      <c r="J13" s="2" t="n"/>
      <c r="K13" s="6">
        <f>IF(C13="","",IF(G13="","Đang làm","Đã nghỉ"))</f>
        <v/>
      </c>
      <c r="L13" s="7">
        <f>IF(C13="","",IF(K13="Đã nghỉ",0,H13+I13))</f>
        <v/>
      </c>
    </row>
    <row r="14">
      <c r="A14" s="2" t="n"/>
      <c r="B14" s="3" t="n"/>
      <c r="C14" s="3" t="n"/>
      <c r="D14" s="3" t="n"/>
      <c r="E14" s="3" t="n"/>
      <c r="F14" s="4" t="n"/>
      <c r="G14" s="4" t="n"/>
      <c r="H14" s="5" t="n"/>
      <c r="I14" s="5" t="n"/>
      <c r="J14" s="2" t="n"/>
      <c r="K14" s="6">
        <f>IF(C14="","",IF(G14="","Đang làm","Đã nghỉ"))</f>
        <v/>
      </c>
      <c r="L14" s="7">
        <f>IF(C14="","",IF(K14="Đã nghỉ",0,H14+I14))</f>
        <v/>
      </c>
    </row>
    <row r="15">
      <c r="A15" s="2" t="n"/>
      <c r="B15" s="3" t="n"/>
      <c r="C15" s="3" t="n"/>
      <c r="D15" s="3" t="n"/>
      <c r="E15" s="3" t="n"/>
      <c r="F15" s="4" t="n"/>
      <c r="G15" s="4" t="n"/>
      <c r="H15" s="5" t="n"/>
      <c r="I15" s="5" t="n"/>
      <c r="J15" s="2" t="n"/>
      <c r="K15" s="6">
        <f>IF(C15="","",IF(G15="","Đang làm","Đã nghỉ"))</f>
        <v/>
      </c>
      <c r="L15" s="7">
        <f>IF(C15="","",IF(K15="Đã nghỉ",0,H15+I15))</f>
        <v/>
      </c>
    </row>
    <row r="16">
      <c r="A16" s="2" t="n"/>
      <c r="B16" s="3" t="n"/>
      <c r="C16" s="3" t="n"/>
      <c r="D16" s="3" t="n"/>
      <c r="E16" s="3" t="n"/>
      <c r="F16" s="4" t="n"/>
      <c r="G16" s="4" t="n"/>
      <c r="H16" s="5" t="n"/>
      <c r="I16" s="5" t="n"/>
      <c r="J16" s="2" t="n"/>
      <c r="K16" s="6">
        <f>IF(C16="","",IF(G16="","Đang làm","Đã nghỉ"))</f>
        <v/>
      </c>
      <c r="L16" s="7">
        <f>IF(C16="","",IF(K16="Đã nghỉ",0,H16+I16))</f>
        <v/>
      </c>
    </row>
    <row r="17">
      <c r="A17" s="2" t="n"/>
      <c r="B17" s="3" t="n"/>
      <c r="C17" s="3" t="n"/>
      <c r="D17" s="3" t="n"/>
      <c r="E17" s="3" t="n"/>
      <c r="F17" s="4" t="n"/>
      <c r="G17" s="4" t="n"/>
      <c r="H17" s="5" t="n"/>
      <c r="I17" s="5" t="n"/>
      <c r="J17" s="2" t="n"/>
      <c r="K17" s="6">
        <f>IF(C17="","",IF(G17="","Đang làm","Đã nghỉ"))</f>
        <v/>
      </c>
      <c r="L17" s="7">
        <f>IF(C17="","",IF(K17="Đã nghỉ",0,H17+I17))</f>
        <v/>
      </c>
    </row>
    <row r="18">
      <c r="A18" s="2" t="n"/>
      <c r="B18" s="3" t="n"/>
      <c r="C18" s="3" t="n"/>
      <c r="D18" s="3" t="n"/>
      <c r="E18" s="3" t="n"/>
      <c r="F18" s="4" t="n"/>
      <c r="G18" s="4" t="n"/>
      <c r="H18" s="5" t="n"/>
      <c r="I18" s="5" t="n"/>
      <c r="J18" s="2" t="n"/>
      <c r="K18" s="6">
        <f>IF(C18="","",IF(G18="","Đang làm","Đã nghỉ"))</f>
        <v/>
      </c>
      <c r="L18" s="7">
        <f>IF(C18="","",IF(K18="Đã nghỉ",0,H18+I18))</f>
        <v/>
      </c>
    </row>
    <row r="19">
      <c r="A19" s="2" t="n"/>
      <c r="B19" s="3" t="n"/>
      <c r="C19" s="3" t="n"/>
      <c r="D19" s="3" t="n"/>
      <c r="E19" s="3" t="n"/>
      <c r="F19" s="4" t="n"/>
      <c r="G19" s="4" t="n"/>
      <c r="H19" s="5" t="n"/>
      <c r="I19" s="5" t="n"/>
      <c r="J19" s="2" t="n"/>
      <c r="K19" s="6">
        <f>IF(C19="","",IF(G19="","Đang làm","Đã nghỉ"))</f>
        <v/>
      </c>
      <c r="L19" s="7">
        <f>IF(C19="","",IF(K19="Đã nghỉ",0,H19+I19))</f>
        <v/>
      </c>
    </row>
    <row r="20">
      <c r="A20" s="2" t="n"/>
      <c r="B20" s="3" t="n"/>
      <c r="C20" s="3" t="n"/>
      <c r="D20" s="3" t="n"/>
      <c r="E20" s="3" t="n"/>
      <c r="F20" s="4" t="n"/>
      <c r="G20" s="4" t="n"/>
      <c r="H20" s="5" t="n"/>
      <c r="I20" s="5" t="n"/>
      <c r="J20" s="2" t="n"/>
      <c r="K20" s="6">
        <f>IF(C20="","",IF(G20="","Đang làm","Đã nghỉ"))</f>
        <v/>
      </c>
      <c r="L20" s="7">
        <f>IF(C20="","",IF(K20="Đã nghỉ",0,H20+I20))</f>
        <v/>
      </c>
    </row>
    <row r="21">
      <c r="A21" s="2" t="n"/>
      <c r="B21" s="3" t="n"/>
      <c r="C21" s="3" t="n"/>
      <c r="D21" s="3" t="n"/>
      <c r="E21" s="3" t="n"/>
      <c r="F21" s="4" t="n"/>
      <c r="G21" s="4" t="n"/>
      <c r="H21" s="5" t="n"/>
      <c r="I21" s="5" t="n"/>
      <c r="J21" s="2" t="n"/>
      <c r="K21" s="6">
        <f>IF(C21="","",IF(G21="","Đang làm","Đã nghỉ"))</f>
        <v/>
      </c>
      <c r="L21" s="7">
        <f>IF(C21="","",IF(K21="Đã nghỉ",0,H21+I21))</f>
        <v/>
      </c>
    </row>
    <row r="22">
      <c r="A22" s="2" t="n"/>
      <c r="B22" s="3" t="n"/>
      <c r="C22" s="3" t="n"/>
      <c r="D22" s="3" t="n"/>
      <c r="E22" s="3" t="n"/>
      <c r="F22" s="4" t="n"/>
      <c r="G22" s="4" t="n"/>
      <c r="H22" s="5" t="n"/>
      <c r="I22" s="5" t="n"/>
      <c r="J22" s="2" t="n"/>
      <c r="K22" s="6">
        <f>IF(C22="","",IF(G22="","Đang làm","Đã nghỉ"))</f>
        <v/>
      </c>
      <c r="L22" s="7">
        <f>IF(C22="","",IF(K22="Đã nghỉ",0,H22+I22))</f>
        <v/>
      </c>
    </row>
    <row r="23">
      <c r="A23" s="2" t="n"/>
      <c r="B23" s="3" t="n"/>
      <c r="C23" s="3" t="n"/>
      <c r="D23" s="3" t="n"/>
      <c r="E23" s="3" t="n"/>
      <c r="F23" s="4" t="n"/>
      <c r="G23" s="4" t="n"/>
      <c r="H23" s="5" t="n"/>
      <c r="I23" s="5" t="n"/>
      <c r="J23" s="2" t="n"/>
      <c r="K23" s="6">
        <f>IF(C23="","",IF(G23="","Đang làm","Đã nghỉ"))</f>
        <v/>
      </c>
      <c r="L23" s="7">
        <f>IF(C23="","",IF(K23="Đã nghỉ",0,H23+I23))</f>
        <v/>
      </c>
    </row>
    <row r="24">
      <c r="A24" s="2" t="n"/>
      <c r="B24" s="3" t="n"/>
      <c r="C24" s="3" t="n"/>
      <c r="D24" s="3" t="n"/>
      <c r="E24" s="3" t="n"/>
      <c r="F24" s="4" t="n"/>
      <c r="G24" s="4" t="n"/>
      <c r="H24" s="5" t="n"/>
      <c r="I24" s="5" t="n"/>
      <c r="J24" s="2" t="n"/>
      <c r="K24" s="6">
        <f>IF(C24="","",IF(G24="","Đang làm","Đã nghỉ"))</f>
        <v/>
      </c>
      <c r="L24" s="7">
        <f>IF(C24="","",IF(K24="Đã nghỉ",0,H24+I24))</f>
        <v/>
      </c>
    </row>
    <row r="25">
      <c r="A25" s="2" t="n"/>
      <c r="B25" s="3" t="n"/>
      <c r="C25" s="3" t="n"/>
      <c r="D25" s="3" t="n"/>
      <c r="E25" s="3" t="n"/>
      <c r="F25" s="4" t="n"/>
      <c r="G25" s="4" t="n"/>
      <c r="H25" s="5" t="n"/>
      <c r="I25" s="5" t="n"/>
      <c r="J25" s="2" t="n"/>
      <c r="K25" s="6">
        <f>IF(C25="","",IF(G25="","Đang làm","Đã nghỉ"))</f>
        <v/>
      </c>
      <c r="L25" s="7">
        <f>IF(C25="","",IF(K25="Đã nghỉ",0,H25+I25))</f>
        <v/>
      </c>
    </row>
    <row r="26">
      <c r="A26" s="2" t="n"/>
      <c r="B26" s="3" t="n"/>
      <c r="C26" s="3" t="n"/>
      <c r="D26" s="3" t="n"/>
      <c r="E26" s="3" t="n"/>
      <c r="F26" s="4" t="n"/>
      <c r="G26" s="4" t="n"/>
      <c r="H26" s="5" t="n"/>
      <c r="I26" s="5" t="n"/>
      <c r="J26" s="2" t="n"/>
      <c r="K26" s="6">
        <f>IF(C26="","",IF(G26="","Đang làm","Đã nghỉ"))</f>
        <v/>
      </c>
      <c r="L26" s="7">
        <f>IF(C26="","",IF(K26="Đã nghỉ",0,H26+I26))</f>
        <v/>
      </c>
    </row>
    <row r="27">
      <c r="A27" s="2" t="n"/>
      <c r="B27" s="3" t="n"/>
      <c r="C27" s="3" t="n"/>
      <c r="D27" s="3" t="n"/>
      <c r="E27" s="3" t="n"/>
      <c r="F27" s="4" t="n"/>
      <c r="G27" s="4" t="n"/>
      <c r="H27" s="5" t="n"/>
      <c r="I27" s="5" t="n"/>
      <c r="J27" s="2" t="n"/>
      <c r="K27" s="6">
        <f>IF(C27="","",IF(G27="","Đang làm","Đã nghỉ"))</f>
        <v/>
      </c>
      <c r="L27" s="7">
        <f>IF(C27="","",IF(K27="Đã nghỉ",0,H27+I27))</f>
        <v/>
      </c>
    </row>
    <row r="28">
      <c r="A28" s="2" t="n"/>
      <c r="B28" s="3" t="n"/>
      <c r="C28" s="3" t="n"/>
      <c r="D28" s="3" t="n"/>
      <c r="E28" s="3" t="n"/>
      <c r="F28" s="4" t="n"/>
      <c r="G28" s="4" t="n"/>
      <c r="H28" s="5" t="n"/>
      <c r="I28" s="5" t="n"/>
      <c r="J28" s="2" t="n"/>
      <c r="K28" s="6">
        <f>IF(C28="","",IF(G28="","Đang làm","Đã nghỉ"))</f>
        <v/>
      </c>
      <c r="L28" s="7">
        <f>IF(C28="","",IF(K28="Đã nghỉ",0,H28+I28))</f>
        <v/>
      </c>
    </row>
    <row r="29">
      <c r="A29" s="2" t="n"/>
      <c r="B29" s="3" t="n"/>
      <c r="C29" s="3" t="n"/>
      <c r="D29" s="3" t="n"/>
      <c r="E29" s="3" t="n"/>
      <c r="F29" s="4" t="n"/>
      <c r="G29" s="4" t="n"/>
      <c r="H29" s="5" t="n"/>
      <c r="I29" s="5" t="n"/>
      <c r="J29" s="2" t="n"/>
      <c r="K29" s="6">
        <f>IF(C29="","",IF(G29="","Đang làm","Đã nghỉ"))</f>
        <v/>
      </c>
      <c r="L29" s="7">
        <f>IF(C29="","",IF(K29="Đã nghỉ",0,H29+I29))</f>
        <v/>
      </c>
    </row>
    <row r="30">
      <c r="A30" s="2" t="n"/>
      <c r="B30" s="3" t="n"/>
      <c r="C30" s="3" t="n"/>
      <c r="D30" s="3" t="n"/>
      <c r="E30" s="3" t="n"/>
      <c r="F30" s="4" t="n"/>
      <c r="G30" s="4" t="n"/>
      <c r="H30" s="5" t="n"/>
      <c r="I30" s="5" t="n"/>
      <c r="J30" s="2" t="n"/>
      <c r="K30" s="6">
        <f>IF(C30="","",IF(G30="","Đang làm","Đã nghỉ"))</f>
        <v/>
      </c>
      <c r="L30" s="7">
        <f>IF(C30="","",IF(K30="Đã nghỉ",0,H30+I30))</f>
        <v/>
      </c>
    </row>
    <row r="31">
      <c r="A31" s="2" t="n"/>
      <c r="B31" s="3" t="n"/>
      <c r="C31" s="3" t="n"/>
      <c r="D31" s="3" t="n"/>
      <c r="E31" s="3" t="n"/>
      <c r="F31" s="4" t="n"/>
      <c r="G31" s="4" t="n"/>
      <c r="H31" s="5" t="n"/>
      <c r="I31" s="5" t="n"/>
      <c r="J31" s="2" t="n"/>
      <c r="K31" s="6">
        <f>IF(C31="","",IF(G31="","Đang làm","Đã nghỉ"))</f>
        <v/>
      </c>
      <c r="L31" s="7">
        <f>IF(C31="","",IF(K31="Đã nghỉ",0,H31+I31))</f>
        <v/>
      </c>
    </row>
  </sheetData>
  <autoFilter ref="A1:L31"/>
  <dataValidations count="4">
    <dataValidation sqref="D2:D31" showDropDown="0" showInputMessage="0" showErrorMessage="0" allowBlank="1" errorTitle="Sai định dạng" error="Giá trị không hợp lệ cho cột này." type="list">
      <formula1>"Kinh doanh,Kế toán,Nhân sự,Kỹ thuật,Kho vận"</formula1>
    </dataValidation>
    <dataValidation sqref="H2:H31" showDropDown="0" showInputMessage="0" showErrorMessage="0" allowBlank="1" errorTitle="Sai định dạng" error="Giá trị không hợp lệ cho cột này." type="decimal" operator="between">
      <formula1>0</formula1>
      <formula2>1000000000</formula2>
    </dataValidation>
    <dataValidation sqref="I2:I31" showDropDown="0" showInputMessage="0" showErrorMessage="0" allowBlank="1" errorTitle="Sai định dạng" error="Giá trị không hợp lệ cho cột này." type="decimal" operator="between">
      <formula1>0</formula1>
      <formula2>1000000000</formula2>
    </dataValidation>
    <dataValidation sqref="J2:J31" showDropDown="0" showInputMessage="0" showErrorMessage="0" allowBlank="1" errorTitle="Sai định dạng" error="Giá trị không hợp lệ cho cột này." type="whole" operator="between">
      <formula1>0</formula1>
      <formula2>20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2"/>
  <sheetViews>
    <sheetView workbookViewId="0">
      <selection activeCell="A1" sqref="A1"/>
    </sheetView>
  </sheetViews>
  <sheetFormatPr baseColWidth="8" defaultRowHeight="15"/>
  <cols>
    <col width="4" customWidth="1" min="1" max="1"/>
    <col width="100" customWidth="1" min="2" max="2"/>
  </cols>
  <sheetData>
    <row r="1">
      <c r="B1" s="8" t="inlineStr">
        <is>
          <t>Mẫu Excel danh sách nhân viên (hồ sơ gốc của cả bộ file nhân sự)</t>
        </is>
      </c>
    </row>
    <row r="2">
      <c r="B2" s="9" t="inlineStr"/>
    </row>
    <row r="3">
      <c r="B3" s="10" t="inlineStr">
        <is>
          <t>CÁCH DÙNG</t>
        </is>
      </c>
    </row>
    <row r="4">
      <c r="B4" s="11" t="inlineStr">
        <is>
          <t>1. Đặt quy tắc mã nhân viên rồi giữ nguyên mãi mãi</t>
        </is>
      </c>
    </row>
    <row r="5">
      <c r="B5" s="9" t="inlineStr">
        <is>
          <t xml:space="preserve">   Mã nhân viên là thứ mọi file khác dùng để tra sang, nên khi đã cấp thì không đổi và không dùng lại cho người khác. Dạng NV001 tăng dần là đủ. Người nghỉ việc rồi quay lại vẫn giữ mã cũ.</t>
        </is>
      </c>
    </row>
    <row r="6">
      <c r="B6" s="11" t="inlineStr">
        <is>
          <t>2. Nhập thông tin và lương theo hợp đồng</t>
        </is>
      </c>
    </row>
    <row r="7">
      <c r="B7" s="9" t="inlineStr">
        <is>
          <t xml:space="preserve">   Lương cơ bản điền đúng mức ghi trên hợp đồng lao động vì đó là căn cứ đóng bảo hiểm. Phụ cấp điền tổng các khoản cố định hằng tháng như ăn trưa, xăng xe, điện thoại — khoản nào thay đổi theo tháng thì đừng để ở đây.</t>
        </is>
      </c>
    </row>
    <row r="8">
      <c r="B8" s="11" t="inlineStr">
        <is>
          <t>3. Nhập ngày vào, để trống ngày nghỉ</t>
        </is>
      </c>
    </row>
    <row r="9">
      <c r="B9" s="9" t="inlineStr">
        <is>
          <t xml:space="preserve">   Ô ngày nghỉ chỉ điền khi người đó thực sự nghỉ việc. Đang làm thì để trống, cột Trạng thái sẽ tự hiện Đang làm. Đây là ô duy nhất quyết định người đó còn được tính vào quân số hay không.</t>
        </is>
      </c>
    </row>
    <row r="10">
      <c r="B10" s="11" t="inlineStr">
        <is>
          <t>4. Khi có người nghỉ việc, đừng xóa dòng</t>
        </is>
      </c>
    </row>
    <row r="11">
      <c r="B11" s="9" t="inlineStr">
        <is>
          <t xml:space="preserve">   Chỉ điền ngày nghỉ vào. Xóa dòng thì bảng lương và bảng chấm công của các tháng trước mất chỗ tra mã nhân viên, và mọi báo cáo cũ đều hỏng theo.</t>
        </is>
      </c>
    </row>
    <row r="12">
      <c r="B12" s="11" t="inlineStr">
        <is>
          <t>5. Cập nhật số người phụ thuộc khi có thay đổi</t>
        </is>
      </c>
    </row>
    <row r="13">
      <c r="B13" s="9" t="inlineStr">
        <is>
          <t xml:space="preserve">   Số người phụ thuộc đã đăng ký với cơ quan thuế, ảnh hưởng trực tiếp tới thuế TNCN bên bảng lương. Sinh con hay đăng ký thêm cha mẹ thì sửa ở đây, bảng lương tự lấy sang.</t>
        </is>
      </c>
    </row>
    <row r="14">
      <c r="B14" s="9" t="inlineStr"/>
    </row>
    <row r="15">
      <c r="B15" s="10" t="inlineStr">
        <is>
          <t>CÔNG THỨC TRONG FILE</t>
        </is>
      </c>
    </row>
    <row r="16">
      <c r="B16" s="11" t="inlineStr">
        <is>
          <t>Trạng thái  —  =IF(C2="","",IF(G2="","Đang làm","Đã nghỉ"))</t>
        </is>
      </c>
    </row>
    <row r="17">
      <c r="B17" s="9" t="inlineStr">
        <is>
          <t xml:space="preserve">   Chỉ đọc ô Ngày nghỉ việc: trống thì Đang làm, có ngày thì Đã nghỉ. Nhờ vậy bạn không phải giữ thêm một cột trạng thái nhập tay, vốn là chỗ hay quên cập nhật nhất.</t>
        </is>
      </c>
    </row>
    <row r="18">
      <c r="B18" s="11" t="inlineStr">
        <is>
          <t>Thu nhập cố định  —  =IF(C2="","",IF(K2="Đã nghỉ",0,H2+I2))</t>
        </is>
      </c>
    </row>
    <row r="19">
      <c r="B19" s="9" t="inlineStr">
        <is>
          <t xml:space="preserve">   Lương cơ bản cộng phụ cấp của người đang làm, người đã nghỉ trả về 0. Cộng cả cột này lại được quỹ lương kế hoạch hằng tháng khi mọi người đi làm đủ công.</t>
        </is>
      </c>
    </row>
    <row r="20">
      <c r="B20" s="9" t="inlineStr"/>
    </row>
    <row r="21">
      <c r="B21" s="11" t="inlineStr">
        <is>
          <t>Bản cập nhật mới nhất và hướng dẫn chi tiết:</t>
        </is>
      </c>
    </row>
    <row r="22">
      <c r="B22" s="12" t="inlineStr">
        <is>
          <t>https://excel.nguyenvietloc.com/mau-excel/nhan-su/danh-sach-nhan-vien</t>
        </is>
      </c>
    </row>
  </sheetData>
  <hyperlinks>
    <hyperlink xmlns:r="http://schemas.openxmlformats.org/officeDocument/2006/relationships" ref="B2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2026-08-10T14:56:09Z</dcterms:created>
  <dcterms:modified xsi:type="dcterms:W3CDTF">2026-08-10T14:56:09Z</dcterms:modified>
</cp:coreProperties>
</file>