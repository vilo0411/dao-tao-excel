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Biến động NS" sheetId="2" state="visible" r:id="rId2"/>
    <sheet name="Hướng dẫn" sheetId="3" state="visible" r:id="rId3"/>
  </sheets>
  <definedNames>
    <definedName name="_xlnm._FilterDatabase" localSheetId="0" hidden="1">'Tổng hợp'!$A$1:$J$21</definedName>
    <definedName name="_xlnm._FilterDatabase" localSheetId="1" hidden="1">'Biến động NS'!$A$1:$F$21</definedName>
  </definedNames>
  <calcPr calcId="124519" fullCalcOnLoad="1"/>
</workbook>
</file>

<file path=xl/styles.xml><?xml version="1.0" encoding="utf-8"?>
<styleSheet xmlns="http://schemas.openxmlformats.org/spreadsheetml/2006/main">
  <numFmts count="3">
    <numFmt numFmtId="164" formatCode="#,##0.##"/>
    <numFmt numFmtId="165" formatCode="#,##0 &quot;₫&quot;"/>
    <numFmt numFmtId="166" formatCode="0.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5" fontId="0" fillId="0" borderId="1" pivotButton="0" quotePrefix="0" xfId="0"/>
    <xf numFmtId="166" fontId="0" fillId="3" borderId="1" pivotButton="0" quotePrefix="0" xfId="0"/>
    <xf numFmtId="165" fontId="0" fillId="3" borderId="1" pivotButton="0" quotePrefix="0" xfId="0"/>
    <xf numFmtId="164"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xcel.nguyenvietloc.com/mau-excel/nhan-su/bang-tong-hop-nhan-su-thang" TargetMode="External" Id="rId1" /></Relationships>
</file>

<file path=xl/worksheets/sheet1.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4" customWidth="1" min="3" max="3"/>
    <col width="12" customWidth="1" min="4" max="4"/>
    <col width="18" customWidth="1" min="5" max="5"/>
    <col width="20" customWidth="1" min="6" max="6"/>
    <col width="14" customWidth="1" min="7" max="7"/>
    <col width="18" customWidth="1" min="8" max="8"/>
    <col width="20" customWidth="1" min="9" max="9"/>
    <col width="16" customWidth="1" min="10" max="10"/>
  </cols>
  <sheetData>
    <row r="1" ht="32" customHeight="1">
      <c r="A1" s="1" t="inlineStr">
        <is>
          <t>STT</t>
        </is>
      </c>
      <c r="B1" s="1" t="inlineStr">
        <is>
          <t>Bộ phận</t>
        </is>
      </c>
      <c r="C1" s="1" t="inlineStr">
        <is>
          <t>Số nhân viên</t>
        </is>
      </c>
      <c r="D1" s="1" t="inlineStr">
        <is>
          <t>Công chuẩn</t>
        </is>
      </c>
      <c r="E1" s="1" t="inlineStr">
        <is>
          <t>Tổng công thực tế</t>
        </is>
      </c>
      <c r="F1" s="1" t="inlineStr">
        <is>
          <t>Quỹ lương thực chi</t>
        </is>
      </c>
      <c r="G1" s="1" t="inlineStr">
        <is>
          <t>Tỷ lệ đi làm</t>
        </is>
      </c>
      <c r="H1" s="1" t="inlineStr">
        <is>
          <t>Lương bình quân</t>
        </is>
      </c>
      <c r="I1" s="1" t="inlineStr">
        <is>
          <t>Chi phí mỗi ngày công</t>
        </is>
      </c>
      <c r="J1" s="1" t="inlineStr">
        <is>
          <t>Cảnh báo</t>
        </is>
      </c>
    </row>
    <row r="2">
      <c r="A2" s="2" t="n">
        <v>1</v>
      </c>
      <c r="B2" s="3" t="inlineStr">
        <is>
          <t>Kinh doanh</t>
        </is>
      </c>
      <c r="C2" s="2" t="n">
        <v>8</v>
      </c>
      <c r="D2" s="2" t="n">
        <v>26</v>
      </c>
      <c r="E2" s="2" t="n">
        <v>198</v>
      </c>
      <c r="F2" s="4" t="n">
        <v>152000000</v>
      </c>
      <c r="G2" s="5">
        <f>IF(B2="","",IFERROR(E2/(C2*D2),0))</f>
        <v/>
      </c>
      <c r="H2" s="6">
        <f>IF(B2="","",IFERROR(F2/C2,0))</f>
        <v/>
      </c>
      <c r="I2" s="6">
        <f>IF(B2="","",IFERROR(F2/E2,0))</f>
        <v/>
      </c>
      <c r="J2" s="7">
        <f>IF(B2="","",IF(C2=0,"Không có NV",IF(G2&gt;=0.95,"Đạt",IF(G2&gt;=0.9,"Theo dõi","Cần xem lại"))))</f>
        <v/>
      </c>
    </row>
    <row r="3">
      <c r="A3" s="2" t="n">
        <v>2</v>
      </c>
      <c r="B3" s="3" t="inlineStr">
        <is>
          <t>Kế toán</t>
        </is>
      </c>
      <c r="C3" s="2" t="n">
        <v>4</v>
      </c>
      <c r="D3" s="2" t="n">
        <v>26</v>
      </c>
      <c r="E3" s="2" t="n">
        <v>101</v>
      </c>
      <c r="F3" s="4" t="n">
        <v>78000000</v>
      </c>
      <c r="G3" s="5">
        <f>IF(B3="","",IFERROR(E3/(C3*D3),0))</f>
        <v/>
      </c>
      <c r="H3" s="6">
        <f>IF(B3="","",IFERROR(F3/C3,0))</f>
        <v/>
      </c>
      <c r="I3" s="6">
        <f>IF(B3="","",IFERROR(F3/E3,0))</f>
        <v/>
      </c>
      <c r="J3" s="7">
        <f>IF(B3="","",IF(C3=0,"Không có NV",IF(G3&gt;=0.95,"Đạt",IF(G3&gt;=0.9,"Theo dõi","Cần xem lại"))))</f>
        <v/>
      </c>
    </row>
    <row r="4">
      <c r="A4" s="2" t="n">
        <v>3</v>
      </c>
      <c r="B4" s="3" t="inlineStr">
        <is>
          <t>Nhân sự</t>
        </is>
      </c>
      <c r="C4" s="2" t="n">
        <v>3</v>
      </c>
      <c r="D4" s="2" t="n">
        <v>26</v>
      </c>
      <c r="E4" s="2" t="n">
        <v>77</v>
      </c>
      <c r="F4" s="4" t="n">
        <v>54000000</v>
      </c>
      <c r="G4" s="5">
        <f>IF(B4="","",IFERROR(E4/(C4*D4),0))</f>
        <v/>
      </c>
      <c r="H4" s="6">
        <f>IF(B4="","",IFERROR(F4/C4,0))</f>
        <v/>
      </c>
      <c r="I4" s="6">
        <f>IF(B4="","",IFERROR(F4/E4,0))</f>
        <v/>
      </c>
      <c r="J4" s="7">
        <f>IF(B4="","",IF(C4=0,"Không có NV",IF(G4&gt;=0.95,"Đạt",IF(G4&gt;=0.9,"Theo dõi","Cần xem lại"))))</f>
        <v/>
      </c>
    </row>
    <row r="5">
      <c r="A5" s="2" t="n">
        <v>4</v>
      </c>
      <c r="B5" s="3" t="inlineStr">
        <is>
          <t>Kỹ thuật</t>
        </is>
      </c>
      <c r="C5" s="2" t="n">
        <v>6</v>
      </c>
      <c r="D5" s="2" t="n">
        <v>26</v>
      </c>
      <c r="E5" s="2" t="n">
        <v>152</v>
      </c>
      <c r="F5" s="4" t="n">
        <v>138000000</v>
      </c>
      <c r="G5" s="5">
        <f>IF(B5="","",IFERROR(E5/(C5*D5),0))</f>
        <v/>
      </c>
      <c r="H5" s="6">
        <f>IF(B5="","",IFERROR(F5/C5,0))</f>
        <v/>
      </c>
      <c r="I5" s="6">
        <f>IF(B5="","",IFERROR(F5/E5,0))</f>
        <v/>
      </c>
      <c r="J5" s="7">
        <f>IF(B5="","",IF(C5=0,"Không có NV",IF(G5&gt;=0.95,"Đạt",IF(G5&gt;=0.9,"Theo dõi","Cần xem lại"))))</f>
        <v/>
      </c>
    </row>
    <row r="6">
      <c r="A6" s="2" t="n">
        <v>5</v>
      </c>
      <c r="B6" s="3" t="inlineStr">
        <is>
          <t>Kho vận</t>
        </is>
      </c>
      <c r="C6" s="2" t="n">
        <v>5</v>
      </c>
      <c r="D6" s="2" t="n">
        <v>26</v>
      </c>
      <c r="E6" s="2" t="n">
        <v>118</v>
      </c>
      <c r="F6" s="4" t="n">
        <v>76000000</v>
      </c>
      <c r="G6" s="5">
        <f>IF(B6="","",IFERROR(E6/(C6*D6),0))</f>
        <v/>
      </c>
      <c r="H6" s="6">
        <f>IF(B6="","",IFERROR(F6/C6,0))</f>
        <v/>
      </c>
      <c r="I6" s="6">
        <f>IF(B6="","",IFERROR(F6/E6,0))</f>
        <v/>
      </c>
      <c r="J6" s="7">
        <f>IF(B6="","",IF(C6=0,"Không có NV",IF(G6&gt;=0.95,"Đạt",IF(G6&gt;=0.9,"Theo dõi","Cần xem lại"))))</f>
        <v/>
      </c>
    </row>
    <row r="7">
      <c r="A7" s="2" t="n"/>
      <c r="B7" s="3" t="n"/>
      <c r="C7" s="2" t="n"/>
      <c r="D7" s="2" t="n"/>
      <c r="E7" s="2" t="n"/>
      <c r="F7" s="4" t="n"/>
      <c r="G7" s="5">
        <f>IF(B7="","",IFERROR(E7/(C7*D7),0))</f>
        <v/>
      </c>
      <c r="H7" s="6">
        <f>IF(B7="","",IFERROR(F7/C7,0))</f>
        <v/>
      </c>
      <c r="I7" s="6">
        <f>IF(B7="","",IFERROR(F7/E7,0))</f>
        <v/>
      </c>
      <c r="J7" s="7">
        <f>IF(B7="","",IF(C7=0,"Không có NV",IF(G7&gt;=0.95,"Đạt",IF(G7&gt;=0.9,"Theo dõi","Cần xem lại"))))</f>
        <v/>
      </c>
    </row>
    <row r="8">
      <c r="A8" s="2" t="n"/>
      <c r="B8" s="3" t="n"/>
      <c r="C8" s="2" t="n"/>
      <c r="D8" s="2" t="n"/>
      <c r="E8" s="2" t="n"/>
      <c r="F8" s="4" t="n"/>
      <c r="G8" s="5">
        <f>IF(B8="","",IFERROR(E8/(C8*D8),0))</f>
        <v/>
      </c>
      <c r="H8" s="6">
        <f>IF(B8="","",IFERROR(F8/C8,0))</f>
        <v/>
      </c>
      <c r="I8" s="6">
        <f>IF(B8="","",IFERROR(F8/E8,0))</f>
        <v/>
      </c>
      <c r="J8" s="7">
        <f>IF(B8="","",IF(C8=0,"Không có NV",IF(G8&gt;=0.95,"Đạt",IF(G8&gt;=0.9,"Theo dõi","Cần xem lại"))))</f>
        <v/>
      </c>
    </row>
    <row r="9">
      <c r="A9" s="2" t="n"/>
      <c r="B9" s="3" t="n"/>
      <c r="C9" s="2" t="n"/>
      <c r="D9" s="2" t="n"/>
      <c r="E9" s="2" t="n"/>
      <c r="F9" s="4" t="n"/>
      <c r="G9" s="5">
        <f>IF(B9="","",IFERROR(E9/(C9*D9),0))</f>
        <v/>
      </c>
      <c r="H9" s="6">
        <f>IF(B9="","",IFERROR(F9/C9,0))</f>
        <v/>
      </c>
      <c r="I9" s="6">
        <f>IF(B9="","",IFERROR(F9/E9,0))</f>
        <v/>
      </c>
      <c r="J9" s="7">
        <f>IF(B9="","",IF(C9=0,"Không có NV",IF(G9&gt;=0.95,"Đạt",IF(G9&gt;=0.9,"Theo dõi","Cần xem lại"))))</f>
        <v/>
      </c>
    </row>
    <row r="10">
      <c r="A10" s="2" t="n"/>
      <c r="B10" s="3" t="n"/>
      <c r="C10" s="2" t="n"/>
      <c r="D10" s="2" t="n"/>
      <c r="E10" s="2" t="n"/>
      <c r="F10" s="4" t="n"/>
      <c r="G10" s="5">
        <f>IF(B10="","",IFERROR(E10/(C10*D10),0))</f>
        <v/>
      </c>
      <c r="H10" s="6">
        <f>IF(B10="","",IFERROR(F10/C10,0))</f>
        <v/>
      </c>
      <c r="I10" s="6">
        <f>IF(B10="","",IFERROR(F10/E10,0))</f>
        <v/>
      </c>
      <c r="J10" s="7">
        <f>IF(B10="","",IF(C10=0,"Không có NV",IF(G10&gt;=0.95,"Đạt",IF(G10&gt;=0.9,"Theo dõi","Cần xem lại"))))</f>
        <v/>
      </c>
    </row>
    <row r="11">
      <c r="A11" s="2" t="n"/>
      <c r="B11" s="3" t="n"/>
      <c r="C11" s="2" t="n"/>
      <c r="D11" s="2" t="n"/>
      <c r="E11" s="2" t="n"/>
      <c r="F11" s="4" t="n"/>
      <c r="G11" s="5">
        <f>IF(B11="","",IFERROR(E11/(C11*D11),0))</f>
        <v/>
      </c>
      <c r="H11" s="6">
        <f>IF(B11="","",IFERROR(F11/C11,0))</f>
        <v/>
      </c>
      <c r="I11" s="6">
        <f>IF(B11="","",IFERROR(F11/E11,0))</f>
        <v/>
      </c>
      <c r="J11" s="7">
        <f>IF(B11="","",IF(C11=0,"Không có NV",IF(G11&gt;=0.95,"Đạt",IF(G11&gt;=0.9,"Theo dõi","Cần xem lại"))))</f>
        <v/>
      </c>
    </row>
    <row r="12">
      <c r="A12" s="2" t="n"/>
      <c r="B12" s="3" t="n"/>
      <c r="C12" s="2" t="n"/>
      <c r="D12" s="2" t="n"/>
      <c r="E12" s="2" t="n"/>
      <c r="F12" s="4" t="n"/>
      <c r="G12" s="5">
        <f>IF(B12="","",IFERROR(E12/(C12*D12),0))</f>
        <v/>
      </c>
      <c r="H12" s="6">
        <f>IF(B12="","",IFERROR(F12/C12,0))</f>
        <v/>
      </c>
      <c r="I12" s="6">
        <f>IF(B12="","",IFERROR(F12/E12,0))</f>
        <v/>
      </c>
      <c r="J12" s="7">
        <f>IF(B12="","",IF(C12=0,"Không có NV",IF(G12&gt;=0.95,"Đạt",IF(G12&gt;=0.9,"Theo dõi","Cần xem lại"))))</f>
        <v/>
      </c>
    </row>
    <row r="13">
      <c r="A13" s="2" t="n"/>
      <c r="B13" s="3" t="n"/>
      <c r="C13" s="2" t="n"/>
      <c r="D13" s="2" t="n"/>
      <c r="E13" s="2" t="n"/>
      <c r="F13" s="4" t="n"/>
      <c r="G13" s="5">
        <f>IF(B13="","",IFERROR(E13/(C13*D13),0))</f>
        <v/>
      </c>
      <c r="H13" s="6">
        <f>IF(B13="","",IFERROR(F13/C13,0))</f>
        <v/>
      </c>
      <c r="I13" s="6">
        <f>IF(B13="","",IFERROR(F13/E13,0))</f>
        <v/>
      </c>
      <c r="J13" s="7">
        <f>IF(B13="","",IF(C13=0,"Không có NV",IF(G13&gt;=0.95,"Đạt",IF(G13&gt;=0.9,"Theo dõi","Cần xem lại"))))</f>
        <v/>
      </c>
    </row>
    <row r="14">
      <c r="A14" s="2" t="n"/>
      <c r="B14" s="3" t="n"/>
      <c r="C14" s="2" t="n"/>
      <c r="D14" s="2" t="n"/>
      <c r="E14" s="2" t="n"/>
      <c r="F14" s="4" t="n"/>
      <c r="G14" s="5">
        <f>IF(B14="","",IFERROR(E14/(C14*D14),0))</f>
        <v/>
      </c>
      <c r="H14" s="6">
        <f>IF(B14="","",IFERROR(F14/C14,0))</f>
        <v/>
      </c>
      <c r="I14" s="6">
        <f>IF(B14="","",IFERROR(F14/E14,0))</f>
        <v/>
      </c>
      <c r="J14" s="7">
        <f>IF(B14="","",IF(C14=0,"Không có NV",IF(G14&gt;=0.95,"Đạt",IF(G14&gt;=0.9,"Theo dõi","Cần xem lại"))))</f>
        <v/>
      </c>
    </row>
    <row r="15">
      <c r="A15" s="2" t="n"/>
      <c r="B15" s="3" t="n"/>
      <c r="C15" s="2" t="n"/>
      <c r="D15" s="2" t="n"/>
      <c r="E15" s="2" t="n"/>
      <c r="F15" s="4" t="n"/>
      <c r="G15" s="5">
        <f>IF(B15="","",IFERROR(E15/(C15*D15),0))</f>
        <v/>
      </c>
      <c r="H15" s="6">
        <f>IF(B15="","",IFERROR(F15/C15,0))</f>
        <v/>
      </c>
      <c r="I15" s="6">
        <f>IF(B15="","",IFERROR(F15/E15,0))</f>
        <v/>
      </c>
      <c r="J15" s="7">
        <f>IF(B15="","",IF(C15=0,"Không có NV",IF(G15&gt;=0.95,"Đạt",IF(G15&gt;=0.9,"Theo dõi","Cần xem lại"))))</f>
        <v/>
      </c>
    </row>
    <row r="16">
      <c r="A16" s="2" t="n"/>
      <c r="B16" s="3" t="n"/>
      <c r="C16" s="2" t="n"/>
      <c r="D16" s="2" t="n"/>
      <c r="E16" s="2" t="n"/>
      <c r="F16" s="4" t="n"/>
      <c r="G16" s="5">
        <f>IF(B16="","",IFERROR(E16/(C16*D16),0))</f>
        <v/>
      </c>
      <c r="H16" s="6">
        <f>IF(B16="","",IFERROR(F16/C16,0))</f>
        <v/>
      </c>
      <c r="I16" s="6">
        <f>IF(B16="","",IFERROR(F16/E16,0))</f>
        <v/>
      </c>
      <c r="J16" s="7">
        <f>IF(B16="","",IF(C16=0,"Không có NV",IF(G16&gt;=0.95,"Đạt",IF(G16&gt;=0.9,"Theo dõi","Cần xem lại"))))</f>
        <v/>
      </c>
    </row>
    <row r="17">
      <c r="A17" s="2" t="n"/>
      <c r="B17" s="3" t="n"/>
      <c r="C17" s="2" t="n"/>
      <c r="D17" s="2" t="n"/>
      <c r="E17" s="2" t="n"/>
      <c r="F17" s="4" t="n"/>
      <c r="G17" s="5">
        <f>IF(B17="","",IFERROR(E17/(C17*D17),0))</f>
        <v/>
      </c>
      <c r="H17" s="6">
        <f>IF(B17="","",IFERROR(F17/C17,0))</f>
        <v/>
      </c>
      <c r="I17" s="6">
        <f>IF(B17="","",IFERROR(F17/E17,0))</f>
        <v/>
      </c>
      <c r="J17" s="7">
        <f>IF(B17="","",IF(C17=0,"Không có NV",IF(G17&gt;=0.95,"Đạt",IF(G17&gt;=0.9,"Theo dõi","Cần xem lại"))))</f>
        <v/>
      </c>
    </row>
    <row r="18">
      <c r="A18" s="2" t="n"/>
      <c r="B18" s="3" t="n"/>
      <c r="C18" s="2" t="n"/>
      <c r="D18" s="2" t="n"/>
      <c r="E18" s="2" t="n"/>
      <c r="F18" s="4" t="n"/>
      <c r="G18" s="5">
        <f>IF(B18="","",IFERROR(E18/(C18*D18),0))</f>
        <v/>
      </c>
      <c r="H18" s="6">
        <f>IF(B18="","",IFERROR(F18/C18,0))</f>
        <v/>
      </c>
      <c r="I18" s="6">
        <f>IF(B18="","",IFERROR(F18/E18,0))</f>
        <v/>
      </c>
      <c r="J18" s="7">
        <f>IF(B18="","",IF(C18=0,"Không có NV",IF(G18&gt;=0.95,"Đạt",IF(G18&gt;=0.9,"Theo dõi","Cần xem lại"))))</f>
        <v/>
      </c>
    </row>
    <row r="19">
      <c r="A19" s="2" t="n"/>
      <c r="B19" s="3" t="n"/>
      <c r="C19" s="2" t="n"/>
      <c r="D19" s="2" t="n"/>
      <c r="E19" s="2" t="n"/>
      <c r="F19" s="4" t="n"/>
      <c r="G19" s="5">
        <f>IF(B19="","",IFERROR(E19/(C19*D19),0))</f>
        <v/>
      </c>
      <c r="H19" s="6">
        <f>IF(B19="","",IFERROR(F19/C19,0))</f>
        <v/>
      </c>
      <c r="I19" s="6">
        <f>IF(B19="","",IFERROR(F19/E19,0))</f>
        <v/>
      </c>
      <c r="J19" s="7">
        <f>IF(B19="","",IF(C19=0,"Không có NV",IF(G19&gt;=0.95,"Đạt",IF(G19&gt;=0.9,"Theo dõi","Cần xem lại"))))</f>
        <v/>
      </c>
    </row>
    <row r="20">
      <c r="A20" s="2" t="n"/>
      <c r="B20" s="3" t="n"/>
      <c r="C20" s="2" t="n"/>
      <c r="D20" s="2" t="n"/>
      <c r="E20" s="2" t="n"/>
      <c r="F20" s="4" t="n"/>
      <c r="G20" s="5">
        <f>IF(B20="","",IFERROR(E20/(C20*D20),0))</f>
        <v/>
      </c>
      <c r="H20" s="6">
        <f>IF(B20="","",IFERROR(F20/C20,0))</f>
        <v/>
      </c>
      <c r="I20" s="6">
        <f>IF(B20="","",IFERROR(F20/E20,0))</f>
        <v/>
      </c>
      <c r="J20" s="7">
        <f>IF(B20="","",IF(C20=0,"Không có NV",IF(G20&gt;=0.95,"Đạt",IF(G20&gt;=0.9,"Theo dõi","Cần xem lại"))))</f>
        <v/>
      </c>
    </row>
    <row r="21">
      <c r="A21" s="2" t="n"/>
      <c r="B21" s="3" t="n"/>
      <c r="C21" s="2" t="n"/>
      <c r="D21" s="2" t="n"/>
      <c r="E21" s="2" t="n"/>
      <c r="F21" s="4" t="n"/>
      <c r="G21" s="5">
        <f>IF(B21="","",IFERROR(E21/(C21*D21),0))</f>
        <v/>
      </c>
      <c r="H21" s="6">
        <f>IF(B21="","",IFERROR(F21/C21,0))</f>
        <v/>
      </c>
      <c r="I21" s="6">
        <f>IF(B21="","",IFERROR(F21/E21,0))</f>
        <v/>
      </c>
      <c r="J21" s="7">
        <f>IF(B21="","",IF(C21=0,"Không có NV",IF(G21&gt;=0.95,"Đạt",IF(G21&gt;=0.9,"Theo dõi","Cần xem lại"))))</f>
        <v/>
      </c>
    </row>
  </sheetData>
  <autoFilter ref="A1:J21"/>
  <dataValidations count="4">
    <dataValidation sqref="B2:B21" showDropDown="0" showInputMessage="0" showErrorMessage="0" allowBlank="1" errorTitle="Sai định dạng" error="Giá trị không hợp lệ cho cột này." type="list">
      <formula1>"Kinh doanh,Kế toán,Nhân sự,Kỹ thuật,Kho vận"</formula1>
    </dataValidation>
    <dataValidation sqref="C2:C21" showDropDown="0" showInputMessage="0" showErrorMessage="0" allowBlank="1" errorTitle="Sai định dạng" error="Giá trị không hợp lệ cho cột này." type="whole" operator="between">
      <formula1>0</formula1>
      <formula2>5000</formula2>
    </dataValidation>
    <dataValidation sqref="D2:D21" showDropDown="0" showInputMessage="0" showErrorMessage="0" allowBlank="1" errorTitle="Sai định dạng" error="Giá trị không hợp lệ cho cột này." type="decimal" operator="between">
      <formula1>0</formula1>
      <formula2>31</formula2>
    </dataValidation>
    <dataValidation sqref="E2:E21" showDropDown="0" showInputMessage="0" showErrorMessage="0" allowBlank="1" errorTitle="Sai định dạng" error="Giá trị không hợp lệ cho cột này." type="decimal" operator="between">
      <formula1>0</formula1>
      <formula2>100000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12" customWidth="1" min="5" max="5"/>
    <col width="16" customWidth="1" min="6" max="6"/>
  </cols>
  <sheetData>
    <row r="1" ht="32" customHeight="1">
      <c r="A1" s="1" t="inlineStr">
        <is>
          <t>Bộ phận</t>
        </is>
      </c>
      <c r="B1" s="1" t="inlineStr">
        <is>
          <t>Đầu kỳ</t>
        </is>
      </c>
      <c r="C1" s="1" t="inlineStr">
        <is>
          <t>Vào mới</t>
        </is>
      </c>
      <c r="D1" s="1" t="inlineStr">
        <is>
          <t>Nghỉ việc</t>
        </is>
      </c>
      <c r="E1" s="1" t="inlineStr">
        <is>
          <t>Cuối kỳ</t>
        </is>
      </c>
      <c r="F1" s="1" t="inlineStr">
        <is>
          <t>Tỷ lệ nghỉ việc</t>
        </is>
      </c>
    </row>
    <row r="2">
      <c r="A2" s="3" t="inlineStr">
        <is>
          <t>Kinh doanh</t>
        </is>
      </c>
      <c r="B2" s="2" t="n">
        <v>8</v>
      </c>
      <c r="C2" s="2" t="n">
        <v>1</v>
      </c>
      <c r="D2" s="2" t="n">
        <v>1</v>
      </c>
      <c r="E2" s="7">
        <f>IF(A2="","",B2+C2-D2)</f>
        <v/>
      </c>
      <c r="F2" s="5">
        <f>IF(A2="","",IFERROR(D2/B2,0))</f>
        <v/>
      </c>
    </row>
    <row r="3">
      <c r="A3" s="3" t="inlineStr">
        <is>
          <t>Kế toán</t>
        </is>
      </c>
      <c r="B3" s="2" t="n">
        <v>4</v>
      </c>
      <c r="C3" s="2" t="n">
        <v>0</v>
      </c>
      <c r="D3" s="2" t="n">
        <v>0</v>
      </c>
      <c r="E3" s="7">
        <f>IF(A3="","",B3+C3-D3)</f>
        <v/>
      </c>
      <c r="F3" s="5">
        <f>IF(A3="","",IFERROR(D3/B3,0))</f>
        <v/>
      </c>
    </row>
    <row r="4">
      <c r="A4" s="3" t="inlineStr">
        <is>
          <t>Nhân sự</t>
        </is>
      </c>
      <c r="B4" s="2" t="n">
        <v>3</v>
      </c>
      <c r="C4" s="2" t="n">
        <v>0</v>
      </c>
      <c r="D4" s="2" t="n">
        <v>0</v>
      </c>
      <c r="E4" s="7">
        <f>IF(A4="","",B4+C4-D4)</f>
        <v/>
      </c>
      <c r="F4" s="5">
        <f>IF(A4="","",IFERROR(D4/B4,0))</f>
        <v/>
      </c>
    </row>
    <row r="5">
      <c r="A5" s="3" t="inlineStr">
        <is>
          <t>Kỹ thuật</t>
        </is>
      </c>
      <c r="B5" s="2" t="n">
        <v>6</v>
      </c>
      <c r="C5" s="2" t="n">
        <v>1</v>
      </c>
      <c r="D5" s="2" t="n">
        <v>1</v>
      </c>
      <c r="E5" s="7">
        <f>IF(A5="","",B5+C5-D5)</f>
        <v/>
      </c>
      <c r="F5" s="5">
        <f>IF(A5="","",IFERROR(D5/B5,0))</f>
        <v/>
      </c>
    </row>
    <row r="6">
      <c r="A6" s="3" t="inlineStr">
        <is>
          <t>Kho vận</t>
        </is>
      </c>
      <c r="B6" s="2" t="n">
        <v>6</v>
      </c>
      <c r="C6" s="2" t="n">
        <v>0</v>
      </c>
      <c r="D6" s="2" t="n">
        <v>1</v>
      </c>
      <c r="E6" s="7">
        <f>IF(A6="","",B6+C6-D6)</f>
        <v/>
      </c>
      <c r="F6" s="5">
        <f>IF(A6="","",IFERROR(D6/B6,0))</f>
        <v/>
      </c>
    </row>
    <row r="7">
      <c r="A7" s="3" t="n"/>
      <c r="B7" s="2" t="n"/>
      <c r="C7" s="2" t="n"/>
      <c r="D7" s="2" t="n"/>
      <c r="E7" s="7">
        <f>IF(A7="","",B7+C7-D7)</f>
        <v/>
      </c>
      <c r="F7" s="5">
        <f>IF(A7="","",IFERROR(D7/B7,0))</f>
        <v/>
      </c>
    </row>
    <row r="8">
      <c r="A8" s="3" t="n"/>
      <c r="B8" s="2" t="n"/>
      <c r="C8" s="2" t="n"/>
      <c r="D8" s="2" t="n"/>
      <c r="E8" s="7">
        <f>IF(A8="","",B8+C8-D8)</f>
        <v/>
      </c>
      <c r="F8" s="5">
        <f>IF(A8="","",IFERROR(D8/B8,0))</f>
        <v/>
      </c>
    </row>
    <row r="9">
      <c r="A9" s="3" t="n"/>
      <c r="B9" s="2" t="n"/>
      <c r="C9" s="2" t="n"/>
      <c r="D9" s="2" t="n"/>
      <c r="E9" s="7">
        <f>IF(A9="","",B9+C9-D9)</f>
        <v/>
      </c>
      <c r="F9" s="5">
        <f>IF(A9="","",IFERROR(D9/B9,0))</f>
        <v/>
      </c>
    </row>
    <row r="10">
      <c r="A10" s="3" t="n"/>
      <c r="B10" s="2" t="n"/>
      <c r="C10" s="2" t="n"/>
      <c r="D10" s="2" t="n"/>
      <c r="E10" s="7">
        <f>IF(A10="","",B10+C10-D10)</f>
        <v/>
      </c>
      <c r="F10" s="5">
        <f>IF(A10="","",IFERROR(D10/B10,0))</f>
        <v/>
      </c>
    </row>
    <row r="11">
      <c r="A11" s="3" t="n"/>
      <c r="B11" s="2" t="n"/>
      <c r="C11" s="2" t="n"/>
      <c r="D11" s="2" t="n"/>
      <c r="E11" s="7">
        <f>IF(A11="","",B11+C11-D11)</f>
        <v/>
      </c>
      <c r="F11" s="5">
        <f>IF(A11="","",IFERROR(D11/B11,0))</f>
        <v/>
      </c>
    </row>
    <row r="12">
      <c r="A12" s="3" t="n"/>
      <c r="B12" s="2" t="n"/>
      <c r="C12" s="2" t="n"/>
      <c r="D12" s="2" t="n"/>
      <c r="E12" s="7">
        <f>IF(A12="","",B12+C12-D12)</f>
        <v/>
      </c>
      <c r="F12" s="5">
        <f>IF(A12="","",IFERROR(D12/B12,0))</f>
        <v/>
      </c>
    </row>
    <row r="13">
      <c r="A13" s="3" t="n"/>
      <c r="B13" s="2" t="n"/>
      <c r="C13" s="2" t="n"/>
      <c r="D13" s="2" t="n"/>
      <c r="E13" s="7">
        <f>IF(A13="","",B13+C13-D13)</f>
        <v/>
      </c>
      <c r="F13" s="5">
        <f>IF(A13="","",IFERROR(D13/B13,0))</f>
        <v/>
      </c>
    </row>
    <row r="14">
      <c r="A14" s="3" t="n"/>
      <c r="B14" s="2" t="n"/>
      <c r="C14" s="2" t="n"/>
      <c r="D14" s="2" t="n"/>
      <c r="E14" s="7">
        <f>IF(A14="","",B14+C14-D14)</f>
        <v/>
      </c>
      <c r="F14" s="5">
        <f>IF(A14="","",IFERROR(D14/B14,0))</f>
        <v/>
      </c>
    </row>
    <row r="15">
      <c r="A15" s="3" t="n"/>
      <c r="B15" s="2" t="n"/>
      <c r="C15" s="2" t="n"/>
      <c r="D15" s="2" t="n"/>
      <c r="E15" s="7">
        <f>IF(A15="","",B15+C15-D15)</f>
        <v/>
      </c>
      <c r="F15" s="5">
        <f>IF(A15="","",IFERROR(D15/B15,0))</f>
        <v/>
      </c>
    </row>
    <row r="16">
      <c r="A16" s="3" t="n"/>
      <c r="B16" s="2" t="n"/>
      <c r="C16" s="2" t="n"/>
      <c r="D16" s="2" t="n"/>
      <c r="E16" s="7">
        <f>IF(A16="","",B16+C16-D16)</f>
        <v/>
      </c>
      <c r="F16" s="5">
        <f>IF(A16="","",IFERROR(D16/B16,0))</f>
        <v/>
      </c>
    </row>
    <row r="17">
      <c r="A17" s="3" t="n"/>
      <c r="B17" s="2" t="n"/>
      <c r="C17" s="2" t="n"/>
      <c r="D17" s="2" t="n"/>
      <c r="E17" s="7">
        <f>IF(A17="","",B17+C17-D17)</f>
        <v/>
      </c>
      <c r="F17" s="5">
        <f>IF(A17="","",IFERROR(D17/B17,0))</f>
        <v/>
      </c>
    </row>
    <row r="18">
      <c r="A18" s="3" t="n"/>
      <c r="B18" s="2" t="n"/>
      <c r="C18" s="2" t="n"/>
      <c r="D18" s="2" t="n"/>
      <c r="E18" s="7">
        <f>IF(A18="","",B18+C18-D18)</f>
        <v/>
      </c>
      <c r="F18" s="5">
        <f>IF(A18="","",IFERROR(D18/B18,0))</f>
        <v/>
      </c>
    </row>
    <row r="19">
      <c r="A19" s="3" t="n"/>
      <c r="B19" s="2" t="n"/>
      <c r="C19" s="2" t="n"/>
      <c r="D19" s="2" t="n"/>
      <c r="E19" s="7">
        <f>IF(A19="","",B19+C19-D19)</f>
        <v/>
      </c>
      <c r="F19" s="5">
        <f>IF(A19="","",IFERROR(D19/B19,0))</f>
        <v/>
      </c>
    </row>
    <row r="20">
      <c r="A20" s="3" t="n"/>
      <c r="B20" s="2" t="n"/>
      <c r="C20" s="2" t="n"/>
      <c r="D20" s="2" t="n"/>
      <c r="E20" s="7">
        <f>IF(A20="","",B20+C20-D20)</f>
        <v/>
      </c>
      <c r="F20" s="5">
        <f>IF(A20="","",IFERROR(D20/B20,0))</f>
        <v/>
      </c>
    </row>
    <row r="21">
      <c r="A21" s="3" t="n"/>
      <c r="B21" s="2" t="n"/>
      <c r="C21" s="2" t="n"/>
      <c r="D21" s="2" t="n"/>
      <c r="E21" s="7">
        <f>IF(A21="","",B21+C21-D21)</f>
        <v/>
      </c>
      <c r="F21" s="5">
        <f>IF(A21="","",IFERROR(D21/B21,0))</f>
        <v/>
      </c>
    </row>
  </sheetData>
  <autoFilter ref="A1:F21"/>
  <dataValidations count="4">
    <dataValidation sqref="A2:A21" showDropDown="0" showInputMessage="0" showErrorMessage="0" allowBlank="1" errorTitle="Sai định dạng" error="Giá trị không hợp lệ cho cột này." type="list">
      <formula1>"Kinh doanh,Kế toán,Nhân sự,Kỹ thuật,Kho vận"</formula1>
    </dataValidation>
    <dataValidation sqref="B2:B21" showDropDown="0" showInputMessage="0" showErrorMessage="0" allowBlank="1" errorTitle="Sai định dạng" error="Giá trị không hợp lệ cho cột này." type="whole" operator="between">
      <formula1>0</formula1>
      <formula2>5000</formula2>
    </dataValidation>
    <dataValidation sqref="C2:C21" showDropDown="0" showInputMessage="0" showErrorMessage="0" allowBlank="1" errorTitle="Sai định dạng" error="Giá trị không hợp lệ cho cột này." type="whole" operator="between">
      <formula1>0</formula1>
      <formula2>5000</formula2>
    </dataValidation>
    <dataValidation sqref="D2:D21" showDropDown="0" showInputMessage="0" showErrorMessage="0" allowBlank="1" errorTitle="Sai định dạng" error="Giá trị không hợp lệ cho cột này." type="whole" operator="between">
      <formula1>0</formula1>
      <formula2>5000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B30"/>
  <sheetViews>
    <sheetView workbookViewId="0">
      <selection activeCell="A1" sqref="A1"/>
    </sheetView>
  </sheetViews>
  <sheetFormatPr baseColWidth="8" defaultRowHeight="15"/>
  <cols>
    <col width="4" customWidth="1" min="1" max="1"/>
    <col width="100" customWidth="1" min="2" max="2"/>
  </cols>
  <sheetData>
    <row r="1">
      <c r="B1" s="8" t="inlineStr">
        <is>
          <t>Mẫu Excel tổng hợp nhân sự theo tháng cho cả công ty</t>
        </is>
      </c>
    </row>
    <row r="2">
      <c r="B2" s="9" t="inlineStr"/>
    </row>
    <row r="3">
      <c r="B3" s="10" t="inlineStr">
        <is>
          <t>CÁCH DÙNG</t>
        </is>
      </c>
    </row>
    <row r="4">
      <c r="B4" s="11" t="inlineStr">
        <is>
          <t>1. Chốt số liệu ở các file đầu vào trước</t>
        </is>
      </c>
    </row>
    <row r="5">
      <c r="B5" s="9" t="inlineStr">
        <is>
          <t xml:space="preserve">   File này chỉ tổng hợp lại, nên phải chốt bảng chấm công và bảng tính lương của tháng xong đã. Mở file tổng khi số liệu còn đang chạy thì con số bạn đọc được là con số sai.</t>
        </is>
      </c>
    </row>
    <row r="6">
      <c r="B6" s="11" t="inlineStr">
        <is>
          <t>2. Nhập quân số và công chuẩn của từng bộ phận</t>
        </is>
      </c>
    </row>
    <row r="7">
      <c r="B7" s="9" t="inlineStr">
        <is>
          <t xml:space="preserve">   Cột Số nhân viên lấy từ hồ sơ nhân viên tại thời điểm cuối tháng. Công chuẩn là số ngày làm việc theo quy định của tháng đó, thường giống nhau ở mọi bộ phận.</t>
        </is>
      </c>
    </row>
    <row r="8">
      <c r="B8" s="11" t="inlineStr">
        <is>
          <t>3. Nhập tổng công và quỹ lương từ hai file kia</t>
        </is>
      </c>
    </row>
    <row r="9">
      <c r="B9" s="9" t="inlineStr">
        <is>
          <t xml:space="preserve">   Tổng công thực tế là tổng cột Tổng công hưởng lương trong bảng chấm công, lọc theo từng bộ phận. Quỹ lương là tổng cột Thực lĩnh trong bảng tính lương, cũng lọc theo bộ phận. Dùng SUMIF theo cột Bộ phận thì nhanh hơn lọc tay.</t>
        </is>
      </c>
    </row>
    <row r="10">
      <c r="B10" s="11" t="inlineStr">
        <is>
          <t>4. Đọc cột cảnh báo trước, rồi mới đọc số</t>
        </is>
      </c>
    </row>
    <row r="11">
      <c r="B11" s="9" t="inlineStr">
        <is>
          <t xml:space="preserve">   Cột Cảnh báo chỉ ra ngay bộ phận nào đang có tỷ lệ đi làm thấp. Bộ phận nào bị Cần xem lại thì quay ngược về bảng chấm công của bộ phận đó để tìm nguyên nhân.</t>
        </is>
      </c>
    </row>
    <row r="12">
      <c r="B12" s="11" t="inlineStr">
        <is>
          <t>5. Nhập sheet Biến động NS vào cuối tháng</t>
        </is>
      </c>
    </row>
    <row r="13">
      <c r="B13" s="9" t="inlineStr">
        <is>
          <t xml:space="preserve">   Quân số đầu kỳ là số cuối kỳ của tháng trước, chép sang. Số vào mới và nghỉ việc lấy từ hồ sơ nhân viên. Cột Cuối kỳ tự tính, và nó phải khớp với cột Số nhân viên ở sheet đầu — lệch nhau là có chỗ ghi sót.</t>
        </is>
      </c>
    </row>
    <row r="14">
      <c r="B14" s="9" t="inlineStr"/>
    </row>
    <row r="15">
      <c r="B15" s="10" t="inlineStr">
        <is>
          <t>CÔNG THỨC TRONG FILE</t>
        </is>
      </c>
    </row>
    <row r="16">
      <c r="B16" s="11" t="inlineStr">
        <is>
          <t>Tỷ lệ đi làm  —  =IF(B2="","",IFERROR(E2/(C2*D2),0))</t>
        </is>
      </c>
    </row>
    <row r="17">
      <c r="B17" s="9" t="inlineStr">
        <is>
          <t xml:space="preserve">   Tổng công thực tế chia cho số công đáng lẽ phải có, tức số nhân viên nhân công chuẩn. Bọc IFERROR để dòng chưa nhập quân số thì trả về 0 thay vì báo lỗi #DIV/0!.</t>
        </is>
      </c>
    </row>
    <row r="18">
      <c r="B18" s="11" t="inlineStr">
        <is>
          <t>Lương bình quân  —  =IF(B2="","",IFERROR(F2/C2,0))</t>
        </is>
      </c>
    </row>
    <row r="19">
      <c r="B19" s="9" t="inlineStr">
        <is>
          <t xml:space="preserve">   Quỹ lương thực chi chia cho số nhân viên của bộ phận. Đây là lương bình quân đầu người thực lĩnh, không phải lương gộp trước bảo hiểm và thuế.</t>
        </is>
      </c>
    </row>
    <row r="20">
      <c r="B20" s="11" t="inlineStr">
        <is>
          <t>Chi phí mỗi ngày công  —  =IF(B2="","",IFERROR(F2/E2,0))</t>
        </is>
      </c>
    </row>
    <row r="21">
      <c r="B21" s="9" t="inlineStr">
        <is>
          <t xml:space="preserve">   Quỹ lương chia cho tổng công thực tế. Khác với lương bình quân ở chỗ nó không bị bóp méo khi trong tháng có người nghỉ dài ngày.</t>
        </is>
      </c>
    </row>
    <row r="22">
      <c r="B22" s="11" t="inlineStr">
        <is>
          <t>Cảnh báo  —  =IF(B2="","",IF(C2=0,"Không có NV",IF(G2&gt;=0.95,"Đạt",IF(G2&gt;=0.9,"Theo dõi","Cần xem lại"))))</t>
        </is>
      </c>
    </row>
    <row r="23">
      <c r="B23" s="9" t="inlineStr">
        <is>
          <t xml:space="preserve">   Đọc cột Tỷ lệ đi làm: từ 95% trở lên là Đạt, từ 90% đến dưới 95% là Theo dõi, dưới nữa là Cần xem lại. Đổi ngưỡng bằng cách sửa hai số 0.95 và 0.9. Hàm IF ngoài cùng tách riêng trường hợp bộ phận không còn ai: tỷ lệ đi làm khi đó bằng 0 và sẽ bị gắn nhầm là Cần xem lại, trong khi thực ra không có gì để xem.</t>
        </is>
      </c>
    </row>
    <row r="24">
      <c r="B24" s="11" t="inlineStr">
        <is>
          <t>Cuối kỳ  —  =IF(A2="","",B2+C2-D2)</t>
        </is>
      </c>
    </row>
    <row r="25">
      <c r="B25" s="9" t="inlineStr">
        <is>
          <t xml:space="preserve">   Quân số đầu kỳ cộng người vào mới trừ người nghỉ việc. Con số này phải khớp với cột Số nhân viên ở sheet Tổng hợp — lệch nhau là có chỗ ghi sót.</t>
        </is>
      </c>
    </row>
    <row r="26">
      <c r="B26" s="11" t="inlineStr">
        <is>
          <t>Tỷ lệ nghỉ việc  —  =IF(A2="","",IFERROR(D2/B2,0))</t>
        </is>
      </c>
    </row>
    <row r="27">
      <c r="B27" s="9" t="inlineStr">
        <is>
          <t xml:space="preserve">   Số người nghỉ việc chia cho quân số đầu kỳ. Tính trên đầu kỳ chứ không phải cuối kỳ, để tháng nào tuyển bù nhiều cũng không làm tỷ lệ đẹp lên một cách giả tạo.</t>
        </is>
      </c>
    </row>
    <row r="28">
      <c r="B28" s="9" t="inlineStr"/>
    </row>
    <row r="29">
      <c r="B29" s="11" t="inlineStr">
        <is>
          <t>Bản cập nhật mới nhất và hướng dẫn chi tiết:</t>
        </is>
      </c>
    </row>
    <row r="30">
      <c r="B30" s="12" t="inlineStr">
        <is>
          <t>https://excel.nguyenvietloc.com/mau-excel/nhan-su/bang-tong-hop-nhan-su-thang</t>
        </is>
      </c>
    </row>
  </sheetData>
  <hyperlinks>
    <hyperlink xmlns:r="http://schemas.openxmlformats.org/officeDocument/2006/relationships" ref="B30"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2026-08-10T13:56:11Z</dcterms:created>
  <dcterms:modified xsi:type="dcterms:W3CDTF">2026-08-10T13:56:11Z</dcterms:modified>
</cp:coreProperties>
</file>