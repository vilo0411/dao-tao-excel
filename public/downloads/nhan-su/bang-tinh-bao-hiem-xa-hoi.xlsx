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ảo hiểm xã hội" sheetId="1" state="visible" r:id="rId1"/>
    <sheet name="Hướng dẫn" sheetId="2" state="visible" r:id="rId2"/>
  </sheets>
  <definedNames>
    <definedName name="_xlnm._FilterDatabase" localSheetId="0" hidden="1">'Bảo hiểm xã hội'!$A$1:$R$31</definedName>
  </definedNames>
  <calcPr calcId="124519" fullCalcOnLoad="1"/>
</workbook>
</file>

<file path=xl/styles.xml><?xml version="1.0" encoding="utf-8"?>
<styleSheet xmlns="http://schemas.openxmlformats.org/spreadsheetml/2006/main">
  <numFmts count="2">
    <numFmt numFmtId="164" formatCode="#,##0.##"/>
    <numFmt numFmtId="165" formatCode="#,##0 &quot;₫&quot;"/>
  </numFmts>
  <fonts count="6">
    <font>
      <name val="Calibri"/>
      <family val="2"/>
      <color theme="1"/>
      <sz val="11"/>
      <scheme val="minor"/>
    </font>
    <font>
      <b val="1"/>
      <color rgb="00FFFFFF"/>
      <sz val="11"/>
    </font>
    <font>
      <b val="1"/>
      <sz val="14"/>
    </font>
    <font>
      <b val="1"/>
      <sz val="12"/>
    </font>
    <font>
      <b val="1"/>
    </font>
    <font>
      <color rgb="001D4ED8"/>
      <u val="single"/>
    </font>
  </fonts>
  <fills count="4">
    <fill>
      <patternFill/>
    </fill>
    <fill>
      <patternFill patternType="gray125"/>
    </fill>
    <fill>
      <patternFill patternType="solid">
        <fgColor rgb="001D4ED8"/>
      </patternFill>
    </fill>
    <fill>
      <patternFill patternType="solid">
        <fgColor rgb="00EFF6FF"/>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164" fontId="0" fillId="0" borderId="1" pivotButton="0" quotePrefix="0" xfId="0"/>
    <xf numFmtId="49" fontId="0" fillId="0" borderId="1" pivotButton="0" quotePrefix="0" xfId="0"/>
    <xf numFmtId="165" fontId="0" fillId="0" borderId="1" pivotButton="0" quotePrefix="0" xfId="0"/>
    <xf numFmtId="165" fontId="0" fillId="3" borderId="1"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excel.nguyenvietloc.com/mau-excel/nhan-su/bang-tinh-bao-hiem-xa-hoi" TargetMode="External" Id="rId1" /></Relationships>
</file>

<file path=xl/worksheets/sheet1.xml><?xml version="1.0" encoding="utf-8"?>
<worksheet xmlns="http://schemas.openxmlformats.org/spreadsheetml/2006/main">
  <sheetPr>
    <outlinePr summaryBelow="1" summaryRight="1"/>
    <pageSetUpPr/>
  </sheetPr>
  <dimension ref="A1:R31"/>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24" customWidth="1" min="3" max="3"/>
    <col width="16" customWidth="1" min="4" max="4"/>
    <col width="15" customWidth="1" min="5" max="5"/>
    <col width="16" customWidth="1" min="6" max="6"/>
    <col width="9" customWidth="1" min="7" max="7"/>
    <col width="18" customWidth="1" min="8" max="8"/>
    <col width="16" customWidth="1" min="9" max="9"/>
    <col width="15" customWidth="1" min="10" max="10"/>
    <col width="15" customWidth="1" min="11" max="11"/>
    <col width="14" customWidth="1" min="12" max="12"/>
    <col width="15" customWidth="1" min="13" max="13"/>
    <col width="16" customWidth="1" min="14" max="14"/>
    <col width="14" customWidth="1" min="15" max="15"/>
    <col width="14" customWidth="1" min="16" max="16"/>
    <col width="15" customWidth="1" min="17" max="17"/>
    <col width="19" customWidth="1" min="18" max="18"/>
  </cols>
  <sheetData>
    <row r="1" ht="32" customHeight="1">
      <c r="A1" s="1" t="inlineStr">
        <is>
          <t>STT</t>
        </is>
      </c>
      <c r="B1" s="1" t="inlineStr">
        <is>
          <t>Mã NV</t>
        </is>
      </c>
      <c r="C1" s="1" t="inlineStr">
        <is>
          <t>Họ và tên</t>
        </is>
      </c>
      <c r="D1" s="1" t="inlineStr">
        <is>
          <t>Bộ phận</t>
        </is>
      </c>
      <c r="E1" s="1" t="inlineStr">
        <is>
          <t>Số sổ BHXH</t>
        </is>
      </c>
      <c r="F1" s="1" t="inlineStr">
        <is>
          <t>Lương đóng BH</t>
        </is>
      </c>
      <c r="G1" s="1" t="inlineStr">
        <is>
          <t>Vùng</t>
        </is>
      </c>
      <c r="H1" s="1" t="inlineStr">
        <is>
          <t>Nền BHXH và BHYT</t>
        </is>
      </c>
      <c r="I1" s="1" t="inlineStr">
        <is>
          <t>Nền BHTN</t>
        </is>
      </c>
      <c r="J1" s="1" t="inlineStr">
        <is>
          <t>NV: BHXH 8%</t>
        </is>
      </c>
      <c r="K1" s="1" t="inlineStr">
        <is>
          <t>NV: BHYT 1,5%</t>
        </is>
      </c>
      <c r="L1" s="1" t="inlineStr">
        <is>
          <t>NV: BHTN 1%</t>
        </is>
      </c>
      <c r="M1" s="1" t="inlineStr">
        <is>
          <t>Tổng NV đóng</t>
        </is>
      </c>
      <c r="N1" s="1" t="inlineStr">
        <is>
          <t>DN: BHXH 17,5%</t>
        </is>
      </c>
      <c r="O1" s="1" t="inlineStr">
        <is>
          <t>DN: BHYT 3%</t>
        </is>
      </c>
      <c r="P1" s="1" t="inlineStr">
        <is>
          <t>DN: BHTN 1%</t>
        </is>
      </c>
      <c r="Q1" s="1" t="inlineStr">
        <is>
          <t>Tổng DN đóng</t>
        </is>
      </c>
      <c r="R1" s="1" t="inlineStr">
        <is>
          <t>Tổng nộp cơ quan BH</t>
        </is>
      </c>
    </row>
    <row r="2">
      <c r="A2" s="2" t="n">
        <v>1</v>
      </c>
      <c r="B2" s="3" t="inlineStr">
        <is>
          <t>NV001</t>
        </is>
      </c>
      <c r="C2" s="3" t="inlineStr">
        <is>
          <t>Nguyễn Thị Mai</t>
        </is>
      </c>
      <c r="D2" s="3" t="inlineStr">
        <is>
          <t>Kinh doanh</t>
        </is>
      </c>
      <c r="E2" s="3" t="inlineStr">
        <is>
          <t>0123456789</t>
        </is>
      </c>
      <c r="F2" s="4" t="n">
        <v>18000000</v>
      </c>
      <c r="G2" s="3" t="inlineStr">
        <is>
          <t>I</t>
        </is>
      </c>
      <c r="H2" s="5">
        <f>IF(C2="","",MIN(F2,46800000))</f>
        <v/>
      </c>
      <c r="I2" s="5">
        <f>IF(C2="","",MIN(F2,IF(G2="I",99200000,IF(G2="II",88200000,IF(G2="III",77200000,69000000)))))</f>
        <v/>
      </c>
      <c r="J2" s="5">
        <f>IF(C2="","",ROUND(H2*8%,0))</f>
        <v/>
      </c>
      <c r="K2" s="5">
        <f>IF(C2="","",ROUND(H2*1.5%,0))</f>
        <v/>
      </c>
      <c r="L2" s="5">
        <f>IF(C2="","",ROUND(I2*1%,0))</f>
        <v/>
      </c>
      <c r="M2" s="5">
        <f>IF(C2="","",J2+K2+L2)</f>
        <v/>
      </c>
      <c r="N2" s="5">
        <f>IF(C2="","",ROUND(H2*17.5%,0))</f>
        <v/>
      </c>
      <c r="O2" s="5">
        <f>IF(C2="","",ROUND(H2*3%,0))</f>
        <v/>
      </c>
      <c r="P2" s="5">
        <f>IF(C2="","",ROUND(I2*1%,0))</f>
        <v/>
      </c>
      <c r="Q2" s="5">
        <f>IF(C2="","",N2+O2+P2)</f>
        <v/>
      </c>
      <c r="R2" s="5">
        <f>IF(C2="","",M2+Q2)</f>
        <v/>
      </c>
    </row>
    <row r="3">
      <c r="A3" s="2" t="n">
        <v>2</v>
      </c>
      <c r="B3" s="3" t="inlineStr">
        <is>
          <t>NV002</t>
        </is>
      </c>
      <c r="C3" s="3" t="inlineStr">
        <is>
          <t>Trần Văn Hùng</t>
        </is>
      </c>
      <c r="D3" s="3" t="inlineStr">
        <is>
          <t>Kỹ thuật</t>
        </is>
      </c>
      <c r="E3" s="3" t="inlineStr">
        <is>
          <t>0123456790</t>
        </is>
      </c>
      <c r="F3" s="4" t="n">
        <v>15000000</v>
      </c>
      <c r="G3" s="3" t="inlineStr">
        <is>
          <t>I</t>
        </is>
      </c>
      <c r="H3" s="5">
        <f>IF(C3="","",MIN(F3,46800000))</f>
        <v/>
      </c>
      <c r="I3" s="5">
        <f>IF(C3="","",MIN(F3,IF(G3="I",99200000,IF(G3="II",88200000,IF(G3="III",77200000,69000000)))))</f>
        <v/>
      </c>
      <c r="J3" s="5">
        <f>IF(C3="","",ROUND(H3*8%,0))</f>
        <v/>
      </c>
      <c r="K3" s="5">
        <f>IF(C3="","",ROUND(H3*1.5%,0))</f>
        <v/>
      </c>
      <c r="L3" s="5">
        <f>IF(C3="","",ROUND(I3*1%,0))</f>
        <v/>
      </c>
      <c r="M3" s="5">
        <f>IF(C3="","",J3+K3+L3)</f>
        <v/>
      </c>
      <c r="N3" s="5">
        <f>IF(C3="","",ROUND(H3*17.5%,0))</f>
        <v/>
      </c>
      <c r="O3" s="5">
        <f>IF(C3="","",ROUND(H3*3%,0))</f>
        <v/>
      </c>
      <c r="P3" s="5">
        <f>IF(C3="","",ROUND(I3*1%,0))</f>
        <v/>
      </c>
      <c r="Q3" s="5">
        <f>IF(C3="","",N3+O3+P3)</f>
        <v/>
      </c>
      <c r="R3" s="5">
        <f>IF(C3="","",M3+Q3)</f>
        <v/>
      </c>
    </row>
    <row r="4">
      <c r="A4" s="2" t="n">
        <v>3</v>
      </c>
      <c r="B4" s="3" t="inlineStr">
        <is>
          <t>NV003</t>
        </is>
      </c>
      <c r="C4" s="3" t="inlineStr">
        <is>
          <t>Lê Thu Hà</t>
        </is>
      </c>
      <c r="D4" s="3" t="inlineStr">
        <is>
          <t>Kế toán</t>
        </is>
      </c>
      <c r="E4" s="3" t="inlineStr">
        <is>
          <t>0123456791</t>
        </is>
      </c>
      <c r="F4" s="4" t="n">
        <v>14000000</v>
      </c>
      <c r="G4" s="3" t="inlineStr">
        <is>
          <t>II</t>
        </is>
      </c>
      <c r="H4" s="5">
        <f>IF(C4="","",MIN(F4,46800000))</f>
        <v/>
      </c>
      <c r="I4" s="5">
        <f>IF(C4="","",MIN(F4,IF(G4="I",99200000,IF(G4="II",88200000,IF(G4="III",77200000,69000000)))))</f>
        <v/>
      </c>
      <c r="J4" s="5">
        <f>IF(C4="","",ROUND(H4*8%,0))</f>
        <v/>
      </c>
      <c r="K4" s="5">
        <f>IF(C4="","",ROUND(H4*1.5%,0))</f>
        <v/>
      </c>
      <c r="L4" s="5">
        <f>IF(C4="","",ROUND(I4*1%,0))</f>
        <v/>
      </c>
      <c r="M4" s="5">
        <f>IF(C4="","",J4+K4+L4)</f>
        <v/>
      </c>
      <c r="N4" s="5">
        <f>IF(C4="","",ROUND(H4*17.5%,0))</f>
        <v/>
      </c>
      <c r="O4" s="5">
        <f>IF(C4="","",ROUND(H4*3%,0))</f>
        <v/>
      </c>
      <c r="P4" s="5">
        <f>IF(C4="","",ROUND(I4*1%,0))</f>
        <v/>
      </c>
      <c r="Q4" s="5">
        <f>IF(C4="","",N4+O4+P4)</f>
        <v/>
      </c>
      <c r="R4" s="5">
        <f>IF(C4="","",M4+Q4)</f>
        <v/>
      </c>
    </row>
    <row r="5">
      <c r="A5" s="2" t="n">
        <v>4</v>
      </c>
      <c r="B5" s="3" t="inlineStr">
        <is>
          <t>NV004</t>
        </is>
      </c>
      <c r="C5" s="3" t="inlineStr">
        <is>
          <t>Phạm Minh Đức</t>
        </is>
      </c>
      <c r="D5" s="3" t="inlineStr">
        <is>
          <t>Kho vận</t>
        </is>
      </c>
      <c r="E5" s="3" t="inlineStr">
        <is>
          <t>0123456792</t>
        </is>
      </c>
      <c r="F5" s="4" t="n">
        <v>11000000</v>
      </c>
      <c r="G5" s="3" t="inlineStr">
        <is>
          <t>III</t>
        </is>
      </c>
      <c r="H5" s="5">
        <f>IF(C5="","",MIN(F5,46800000))</f>
        <v/>
      </c>
      <c r="I5" s="5">
        <f>IF(C5="","",MIN(F5,IF(G5="I",99200000,IF(G5="II",88200000,IF(G5="III",77200000,69000000)))))</f>
        <v/>
      </c>
      <c r="J5" s="5">
        <f>IF(C5="","",ROUND(H5*8%,0))</f>
        <v/>
      </c>
      <c r="K5" s="5">
        <f>IF(C5="","",ROUND(H5*1.5%,0))</f>
        <v/>
      </c>
      <c r="L5" s="5">
        <f>IF(C5="","",ROUND(I5*1%,0))</f>
        <v/>
      </c>
      <c r="M5" s="5">
        <f>IF(C5="","",J5+K5+L5)</f>
        <v/>
      </c>
      <c r="N5" s="5">
        <f>IF(C5="","",ROUND(H5*17.5%,0))</f>
        <v/>
      </c>
      <c r="O5" s="5">
        <f>IF(C5="","",ROUND(H5*3%,0))</f>
        <v/>
      </c>
      <c r="P5" s="5">
        <f>IF(C5="","",ROUND(I5*1%,0))</f>
        <v/>
      </c>
      <c r="Q5" s="5">
        <f>IF(C5="","",N5+O5+P5)</f>
        <v/>
      </c>
      <c r="R5" s="5">
        <f>IF(C5="","",M5+Q5)</f>
        <v/>
      </c>
    </row>
    <row r="6">
      <c r="A6" s="2" t="n">
        <v>5</v>
      </c>
      <c r="B6" s="3" t="inlineStr">
        <is>
          <t>NV006</t>
        </is>
      </c>
      <c r="C6" s="3" t="inlineStr">
        <is>
          <t>Vũ Quốc Thắng</t>
        </is>
      </c>
      <c r="D6" s="3" t="inlineStr">
        <is>
          <t>Kinh doanh</t>
        </is>
      </c>
      <c r="E6" s="3" t="inlineStr">
        <is>
          <t>0123456793</t>
        </is>
      </c>
      <c r="F6" s="4" t="n">
        <v>60000000</v>
      </c>
      <c r="G6" s="3" t="inlineStr">
        <is>
          <t>I</t>
        </is>
      </c>
      <c r="H6" s="5">
        <f>IF(C6="","",MIN(F6,46800000))</f>
        <v/>
      </c>
      <c r="I6" s="5">
        <f>IF(C6="","",MIN(F6,IF(G6="I",99200000,IF(G6="II",88200000,IF(G6="III",77200000,69000000)))))</f>
        <v/>
      </c>
      <c r="J6" s="5">
        <f>IF(C6="","",ROUND(H6*8%,0))</f>
        <v/>
      </c>
      <c r="K6" s="5">
        <f>IF(C6="","",ROUND(H6*1.5%,0))</f>
        <v/>
      </c>
      <c r="L6" s="5">
        <f>IF(C6="","",ROUND(I6*1%,0))</f>
        <v/>
      </c>
      <c r="M6" s="5">
        <f>IF(C6="","",J6+K6+L6)</f>
        <v/>
      </c>
      <c r="N6" s="5">
        <f>IF(C6="","",ROUND(H6*17.5%,0))</f>
        <v/>
      </c>
      <c r="O6" s="5">
        <f>IF(C6="","",ROUND(H6*3%,0))</f>
        <v/>
      </c>
      <c r="P6" s="5">
        <f>IF(C6="","",ROUND(I6*1%,0))</f>
        <v/>
      </c>
      <c r="Q6" s="5">
        <f>IF(C6="","",N6+O6+P6)</f>
        <v/>
      </c>
      <c r="R6" s="5">
        <f>IF(C6="","",M6+Q6)</f>
        <v/>
      </c>
    </row>
    <row r="7">
      <c r="A7" s="2" t="n"/>
      <c r="B7" s="3" t="n"/>
      <c r="C7" s="3" t="n"/>
      <c r="D7" s="3" t="n"/>
      <c r="E7" s="3" t="n"/>
      <c r="F7" s="4" t="n"/>
      <c r="G7" s="3" t="n"/>
      <c r="H7" s="5">
        <f>IF(C7="","",MIN(F7,46800000))</f>
        <v/>
      </c>
      <c r="I7" s="5">
        <f>IF(C7="","",MIN(F7,IF(G7="I",99200000,IF(G7="II",88200000,IF(G7="III",77200000,69000000)))))</f>
        <v/>
      </c>
      <c r="J7" s="5">
        <f>IF(C7="","",ROUND(H7*8%,0))</f>
        <v/>
      </c>
      <c r="K7" s="5">
        <f>IF(C7="","",ROUND(H7*1.5%,0))</f>
        <v/>
      </c>
      <c r="L7" s="5">
        <f>IF(C7="","",ROUND(I7*1%,0))</f>
        <v/>
      </c>
      <c r="M7" s="5">
        <f>IF(C7="","",J7+K7+L7)</f>
        <v/>
      </c>
      <c r="N7" s="5">
        <f>IF(C7="","",ROUND(H7*17.5%,0))</f>
        <v/>
      </c>
      <c r="O7" s="5">
        <f>IF(C7="","",ROUND(H7*3%,0))</f>
        <v/>
      </c>
      <c r="P7" s="5">
        <f>IF(C7="","",ROUND(I7*1%,0))</f>
        <v/>
      </c>
      <c r="Q7" s="5">
        <f>IF(C7="","",N7+O7+P7)</f>
        <v/>
      </c>
      <c r="R7" s="5">
        <f>IF(C7="","",M7+Q7)</f>
        <v/>
      </c>
    </row>
    <row r="8">
      <c r="A8" s="2" t="n"/>
      <c r="B8" s="3" t="n"/>
      <c r="C8" s="3" t="n"/>
      <c r="D8" s="3" t="n"/>
      <c r="E8" s="3" t="n"/>
      <c r="F8" s="4" t="n"/>
      <c r="G8" s="3" t="n"/>
      <c r="H8" s="5">
        <f>IF(C8="","",MIN(F8,46800000))</f>
        <v/>
      </c>
      <c r="I8" s="5">
        <f>IF(C8="","",MIN(F8,IF(G8="I",99200000,IF(G8="II",88200000,IF(G8="III",77200000,69000000)))))</f>
        <v/>
      </c>
      <c r="J8" s="5">
        <f>IF(C8="","",ROUND(H8*8%,0))</f>
        <v/>
      </c>
      <c r="K8" s="5">
        <f>IF(C8="","",ROUND(H8*1.5%,0))</f>
        <v/>
      </c>
      <c r="L8" s="5">
        <f>IF(C8="","",ROUND(I8*1%,0))</f>
        <v/>
      </c>
      <c r="M8" s="5">
        <f>IF(C8="","",J8+K8+L8)</f>
        <v/>
      </c>
      <c r="N8" s="5">
        <f>IF(C8="","",ROUND(H8*17.5%,0))</f>
        <v/>
      </c>
      <c r="O8" s="5">
        <f>IF(C8="","",ROUND(H8*3%,0))</f>
        <v/>
      </c>
      <c r="P8" s="5">
        <f>IF(C8="","",ROUND(I8*1%,0))</f>
        <v/>
      </c>
      <c r="Q8" s="5">
        <f>IF(C8="","",N8+O8+P8)</f>
        <v/>
      </c>
      <c r="R8" s="5">
        <f>IF(C8="","",M8+Q8)</f>
        <v/>
      </c>
    </row>
    <row r="9">
      <c r="A9" s="2" t="n"/>
      <c r="B9" s="3" t="n"/>
      <c r="C9" s="3" t="n"/>
      <c r="D9" s="3" t="n"/>
      <c r="E9" s="3" t="n"/>
      <c r="F9" s="4" t="n"/>
      <c r="G9" s="3" t="n"/>
      <c r="H9" s="5">
        <f>IF(C9="","",MIN(F9,46800000))</f>
        <v/>
      </c>
      <c r="I9" s="5">
        <f>IF(C9="","",MIN(F9,IF(G9="I",99200000,IF(G9="II",88200000,IF(G9="III",77200000,69000000)))))</f>
        <v/>
      </c>
      <c r="J9" s="5">
        <f>IF(C9="","",ROUND(H9*8%,0))</f>
        <v/>
      </c>
      <c r="K9" s="5">
        <f>IF(C9="","",ROUND(H9*1.5%,0))</f>
        <v/>
      </c>
      <c r="L9" s="5">
        <f>IF(C9="","",ROUND(I9*1%,0))</f>
        <v/>
      </c>
      <c r="M9" s="5">
        <f>IF(C9="","",J9+K9+L9)</f>
        <v/>
      </c>
      <c r="N9" s="5">
        <f>IF(C9="","",ROUND(H9*17.5%,0))</f>
        <v/>
      </c>
      <c r="O9" s="5">
        <f>IF(C9="","",ROUND(H9*3%,0))</f>
        <v/>
      </c>
      <c r="P9" s="5">
        <f>IF(C9="","",ROUND(I9*1%,0))</f>
        <v/>
      </c>
      <c r="Q9" s="5">
        <f>IF(C9="","",N9+O9+P9)</f>
        <v/>
      </c>
      <c r="R9" s="5">
        <f>IF(C9="","",M9+Q9)</f>
        <v/>
      </c>
    </row>
    <row r="10">
      <c r="A10" s="2" t="n"/>
      <c r="B10" s="3" t="n"/>
      <c r="C10" s="3" t="n"/>
      <c r="D10" s="3" t="n"/>
      <c r="E10" s="3" t="n"/>
      <c r="F10" s="4" t="n"/>
      <c r="G10" s="3" t="n"/>
      <c r="H10" s="5">
        <f>IF(C10="","",MIN(F10,46800000))</f>
        <v/>
      </c>
      <c r="I10" s="5">
        <f>IF(C10="","",MIN(F10,IF(G10="I",99200000,IF(G10="II",88200000,IF(G10="III",77200000,69000000)))))</f>
        <v/>
      </c>
      <c r="J10" s="5">
        <f>IF(C10="","",ROUND(H10*8%,0))</f>
        <v/>
      </c>
      <c r="K10" s="5">
        <f>IF(C10="","",ROUND(H10*1.5%,0))</f>
        <v/>
      </c>
      <c r="L10" s="5">
        <f>IF(C10="","",ROUND(I10*1%,0))</f>
        <v/>
      </c>
      <c r="M10" s="5">
        <f>IF(C10="","",J10+K10+L10)</f>
        <v/>
      </c>
      <c r="N10" s="5">
        <f>IF(C10="","",ROUND(H10*17.5%,0))</f>
        <v/>
      </c>
      <c r="O10" s="5">
        <f>IF(C10="","",ROUND(H10*3%,0))</f>
        <v/>
      </c>
      <c r="P10" s="5">
        <f>IF(C10="","",ROUND(I10*1%,0))</f>
        <v/>
      </c>
      <c r="Q10" s="5">
        <f>IF(C10="","",N10+O10+P10)</f>
        <v/>
      </c>
      <c r="R10" s="5">
        <f>IF(C10="","",M10+Q10)</f>
        <v/>
      </c>
    </row>
    <row r="11">
      <c r="A11" s="2" t="n"/>
      <c r="B11" s="3" t="n"/>
      <c r="C11" s="3" t="n"/>
      <c r="D11" s="3" t="n"/>
      <c r="E11" s="3" t="n"/>
      <c r="F11" s="4" t="n"/>
      <c r="G11" s="3" t="n"/>
      <c r="H11" s="5">
        <f>IF(C11="","",MIN(F11,46800000))</f>
        <v/>
      </c>
      <c r="I11" s="5">
        <f>IF(C11="","",MIN(F11,IF(G11="I",99200000,IF(G11="II",88200000,IF(G11="III",77200000,69000000)))))</f>
        <v/>
      </c>
      <c r="J11" s="5">
        <f>IF(C11="","",ROUND(H11*8%,0))</f>
        <v/>
      </c>
      <c r="K11" s="5">
        <f>IF(C11="","",ROUND(H11*1.5%,0))</f>
        <v/>
      </c>
      <c r="L11" s="5">
        <f>IF(C11="","",ROUND(I11*1%,0))</f>
        <v/>
      </c>
      <c r="M11" s="5">
        <f>IF(C11="","",J11+K11+L11)</f>
        <v/>
      </c>
      <c r="N11" s="5">
        <f>IF(C11="","",ROUND(H11*17.5%,0))</f>
        <v/>
      </c>
      <c r="O11" s="5">
        <f>IF(C11="","",ROUND(H11*3%,0))</f>
        <v/>
      </c>
      <c r="P11" s="5">
        <f>IF(C11="","",ROUND(I11*1%,0))</f>
        <v/>
      </c>
      <c r="Q11" s="5">
        <f>IF(C11="","",N11+O11+P11)</f>
        <v/>
      </c>
      <c r="R11" s="5">
        <f>IF(C11="","",M11+Q11)</f>
        <v/>
      </c>
    </row>
    <row r="12">
      <c r="A12" s="2" t="n"/>
      <c r="B12" s="3" t="n"/>
      <c r="C12" s="3" t="n"/>
      <c r="D12" s="3" t="n"/>
      <c r="E12" s="3" t="n"/>
      <c r="F12" s="4" t="n"/>
      <c r="G12" s="3" t="n"/>
      <c r="H12" s="5">
        <f>IF(C12="","",MIN(F12,46800000))</f>
        <v/>
      </c>
      <c r="I12" s="5">
        <f>IF(C12="","",MIN(F12,IF(G12="I",99200000,IF(G12="II",88200000,IF(G12="III",77200000,69000000)))))</f>
        <v/>
      </c>
      <c r="J12" s="5">
        <f>IF(C12="","",ROUND(H12*8%,0))</f>
        <v/>
      </c>
      <c r="K12" s="5">
        <f>IF(C12="","",ROUND(H12*1.5%,0))</f>
        <v/>
      </c>
      <c r="L12" s="5">
        <f>IF(C12="","",ROUND(I12*1%,0))</f>
        <v/>
      </c>
      <c r="M12" s="5">
        <f>IF(C12="","",J12+K12+L12)</f>
        <v/>
      </c>
      <c r="N12" s="5">
        <f>IF(C12="","",ROUND(H12*17.5%,0))</f>
        <v/>
      </c>
      <c r="O12" s="5">
        <f>IF(C12="","",ROUND(H12*3%,0))</f>
        <v/>
      </c>
      <c r="P12" s="5">
        <f>IF(C12="","",ROUND(I12*1%,0))</f>
        <v/>
      </c>
      <c r="Q12" s="5">
        <f>IF(C12="","",N12+O12+P12)</f>
        <v/>
      </c>
      <c r="R12" s="5">
        <f>IF(C12="","",M12+Q12)</f>
        <v/>
      </c>
    </row>
    <row r="13">
      <c r="A13" s="2" t="n"/>
      <c r="B13" s="3" t="n"/>
      <c r="C13" s="3" t="n"/>
      <c r="D13" s="3" t="n"/>
      <c r="E13" s="3" t="n"/>
      <c r="F13" s="4" t="n"/>
      <c r="G13" s="3" t="n"/>
      <c r="H13" s="5">
        <f>IF(C13="","",MIN(F13,46800000))</f>
        <v/>
      </c>
      <c r="I13" s="5">
        <f>IF(C13="","",MIN(F13,IF(G13="I",99200000,IF(G13="II",88200000,IF(G13="III",77200000,69000000)))))</f>
        <v/>
      </c>
      <c r="J13" s="5">
        <f>IF(C13="","",ROUND(H13*8%,0))</f>
        <v/>
      </c>
      <c r="K13" s="5">
        <f>IF(C13="","",ROUND(H13*1.5%,0))</f>
        <v/>
      </c>
      <c r="L13" s="5">
        <f>IF(C13="","",ROUND(I13*1%,0))</f>
        <v/>
      </c>
      <c r="M13" s="5">
        <f>IF(C13="","",J13+K13+L13)</f>
        <v/>
      </c>
      <c r="N13" s="5">
        <f>IF(C13="","",ROUND(H13*17.5%,0))</f>
        <v/>
      </c>
      <c r="O13" s="5">
        <f>IF(C13="","",ROUND(H13*3%,0))</f>
        <v/>
      </c>
      <c r="P13" s="5">
        <f>IF(C13="","",ROUND(I13*1%,0))</f>
        <v/>
      </c>
      <c r="Q13" s="5">
        <f>IF(C13="","",N13+O13+P13)</f>
        <v/>
      </c>
      <c r="R13" s="5">
        <f>IF(C13="","",M13+Q13)</f>
        <v/>
      </c>
    </row>
    <row r="14">
      <c r="A14" s="2" t="n"/>
      <c r="B14" s="3" t="n"/>
      <c r="C14" s="3" t="n"/>
      <c r="D14" s="3" t="n"/>
      <c r="E14" s="3" t="n"/>
      <c r="F14" s="4" t="n"/>
      <c r="G14" s="3" t="n"/>
      <c r="H14" s="5">
        <f>IF(C14="","",MIN(F14,46800000))</f>
        <v/>
      </c>
      <c r="I14" s="5">
        <f>IF(C14="","",MIN(F14,IF(G14="I",99200000,IF(G14="II",88200000,IF(G14="III",77200000,69000000)))))</f>
        <v/>
      </c>
      <c r="J14" s="5">
        <f>IF(C14="","",ROUND(H14*8%,0))</f>
        <v/>
      </c>
      <c r="K14" s="5">
        <f>IF(C14="","",ROUND(H14*1.5%,0))</f>
        <v/>
      </c>
      <c r="L14" s="5">
        <f>IF(C14="","",ROUND(I14*1%,0))</f>
        <v/>
      </c>
      <c r="M14" s="5">
        <f>IF(C14="","",J14+K14+L14)</f>
        <v/>
      </c>
      <c r="N14" s="5">
        <f>IF(C14="","",ROUND(H14*17.5%,0))</f>
        <v/>
      </c>
      <c r="O14" s="5">
        <f>IF(C14="","",ROUND(H14*3%,0))</f>
        <v/>
      </c>
      <c r="P14" s="5">
        <f>IF(C14="","",ROUND(I14*1%,0))</f>
        <v/>
      </c>
      <c r="Q14" s="5">
        <f>IF(C14="","",N14+O14+P14)</f>
        <v/>
      </c>
      <c r="R14" s="5">
        <f>IF(C14="","",M14+Q14)</f>
        <v/>
      </c>
    </row>
    <row r="15">
      <c r="A15" s="2" t="n"/>
      <c r="B15" s="3" t="n"/>
      <c r="C15" s="3" t="n"/>
      <c r="D15" s="3" t="n"/>
      <c r="E15" s="3" t="n"/>
      <c r="F15" s="4" t="n"/>
      <c r="G15" s="3" t="n"/>
      <c r="H15" s="5">
        <f>IF(C15="","",MIN(F15,46800000))</f>
        <v/>
      </c>
      <c r="I15" s="5">
        <f>IF(C15="","",MIN(F15,IF(G15="I",99200000,IF(G15="II",88200000,IF(G15="III",77200000,69000000)))))</f>
        <v/>
      </c>
      <c r="J15" s="5">
        <f>IF(C15="","",ROUND(H15*8%,0))</f>
        <v/>
      </c>
      <c r="K15" s="5">
        <f>IF(C15="","",ROUND(H15*1.5%,0))</f>
        <v/>
      </c>
      <c r="L15" s="5">
        <f>IF(C15="","",ROUND(I15*1%,0))</f>
        <v/>
      </c>
      <c r="M15" s="5">
        <f>IF(C15="","",J15+K15+L15)</f>
        <v/>
      </c>
      <c r="N15" s="5">
        <f>IF(C15="","",ROUND(H15*17.5%,0))</f>
        <v/>
      </c>
      <c r="O15" s="5">
        <f>IF(C15="","",ROUND(H15*3%,0))</f>
        <v/>
      </c>
      <c r="P15" s="5">
        <f>IF(C15="","",ROUND(I15*1%,0))</f>
        <v/>
      </c>
      <c r="Q15" s="5">
        <f>IF(C15="","",N15+O15+P15)</f>
        <v/>
      </c>
      <c r="R15" s="5">
        <f>IF(C15="","",M15+Q15)</f>
        <v/>
      </c>
    </row>
    <row r="16">
      <c r="A16" s="2" t="n"/>
      <c r="B16" s="3" t="n"/>
      <c r="C16" s="3" t="n"/>
      <c r="D16" s="3" t="n"/>
      <c r="E16" s="3" t="n"/>
      <c r="F16" s="4" t="n"/>
      <c r="G16" s="3" t="n"/>
      <c r="H16" s="5">
        <f>IF(C16="","",MIN(F16,46800000))</f>
        <v/>
      </c>
      <c r="I16" s="5">
        <f>IF(C16="","",MIN(F16,IF(G16="I",99200000,IF(G16="II",88200000,IF(G16="III",77200000,69000000)))))</f>
        <v/>
      </c>
      <c r="J16" s="5">
        <f>IF(C16="","",ROUND(H16*8%,0))</f>
        <v/>
      </c>
      <c r="K16" s="5">
        <f>IF(C16="","",ROUND(H16*1.5%,0))</f>
        <v/>
      </c>
      <c r="L16" s="5">
        <f>IF(C16="","",ROUND(I16*1%,0))</f>
        <v/>
      </c>
      <c r="M16" s="5">
        <f>IF(C16="","",J16+K16+L16)</f>
        <v/>
      </c>
      <c r="N16" s="5">
        <f>IF(C16="","",ROUND(H16*17.5%,0))</f>
        <v/>
      </c>
      <c r="O16" s="5">
        <f>IF(C16="","",ROUND(H16*3%,0))</f>
        <v/>
      </c>
      <c r="P16" s="5">
        <f>IF(C16="","",ROUND(I16*1%,0))</f>
        <v/>
      </c>
      <c r="Q16" s="5">
        <f>IF(C16="","",N16+O16+P16)</f>
        <v/>
      </c>
      <c r="R16" s="5">
        <f>IF(C16="","",M16+Q16)</f>
        <v/>
      </c>
    </row>
    <row r="17">
      <c r="A17" s="2" t="n"/>
      <c r="B17" s="3" t="n"/>
      <c r="C17" s="3" t="n"/>
      <c r="D17" s="3" t="n"/>
      <c r="E17" s="3" t="n"/>
      <c r="F17" s="4" t="n"/>
      <c r="G17" s="3" t="n"/>
      <c r="H17" s="5">
        <f>IF(C17="","",MIN(F17,46800000))</f>
        <v/>
      </c>
      <c r="I17" s="5">
        <f>IF(C17="","",MIN(F17,IF(G17="I",99200000,IF(G17="II",88200000,IF(G17="III",77200000,69000000)))))</f>
        <v/>
      </c>
      <c r="J17" s="5">
        <f>IF(C17="","",ROUND(H17*8%,0))</f>
        <v/>
      </c>
      <c r="K17" s="5">
        <f>IF(C17="","",ROUND(H17*1.5%,0))</f>
        <v/>
      </c>
      <c r="L17" s="5">
        <f>IF(C17="","",ROUND(I17*1%,0))</f>
        <v/>
      </c>
      <c r="M17" s="5">
        <f>IF(C17="","",J17+K17+L17)</f>
        <v/>
      </c>
      <c r="N17" s="5">
        <f>IF(C17="","",ROUND(H17*17.5%,0))</f>
        <v/>
      </c>
      <c r="O17" s="5">
        <f>IF(C17="","",ROUND(H17*3%,0))</f>
        <v/>
      </c>
      <c r="P17" s="5">
        <f>IF(C17="","",ROUND(I17*1%,0))</f>
        <v/>
      </c>
      <c r="Q17" s="5">
        <f>IF(C17="","",N17+O17+P17)</f>
        <v/>
      </c>
      <c r="R17" s="5">
        <f>IF(C17="","",M17+Q17)</f>
        <v/>
      </c>
    </row>
    <row r="18">
      <c r="A18" s="2" t="n"/>
      <c r="B18" s="3" t="n"/>
      <c r="C18" s="3" t="n"/>
      <c r="D18" s="3" t="n"/>
      <c r="E18" s="3" t="n"/>
      <c r="F18" s="4" t="n"/>
      <c r="G18" s="3" t="n"/>
      <c r="H18" s="5">
        <f>IF(C18="","",MIN(F18,46800000))</f>
        <v/>
      </c>
      <c r="I18" s="5">
        <f>IF(C18="","",MIN(F18,IF(G18="I",99200000,IF(G18="II",88200000,IF(G18="III",77200000,69000000)))))</f>
        <v/>
      </c>
      <c r="J18" s="5">
        <f>IF(C18="","",ROUND(H18*8%,0))</f>
        <v/>
      </c>
      <c r="K18" s="5">
        <f>IF(C18="","",ROUND(H18*1.5%,0))</f>
        <v/>
      </c>
      <c r="L18" s="5">
        <f>IF(C18="","",ROUND(I18*1%,0))</f>
        <v/>
      </c>
      <c r="M18" s="5">
        <f>IF(C18="","",J18+K18+L18)</f>
        <v/>
      </c>
      <c r="N18" s="5">
        <f>IF(C18="","",ROUND(H18*17.5%,0))</f>
        <v/>
      </c>
      <c r="O18" s="5">
        <f>IF(C18="","",ROUND(H18*3%,0))</f>
        <v/>
      </c>
      <c r="P18" s="5">
        <f>IF(C18="","",ROUND(I18*1%,0))</f>
        <v/>
      </c>
      <c r="Q18" s="5">
        <f>IF(C18="","",N18+O18+P18)</f>
        <v/>
      </c>
      <c r="R18" s="5">
        <f>IF(C18="","",M18+Q18)</f>
        <v/>
      </c>
    </row>
    <row r="19">
      <c r="A19" s="2" t="n"/>
      <c r="B19" s="3" t="n"/>
      <c r="C19" s="3" t="n"/>
      <c r="D19" s="3" t="n"/>
      <c r="E19" s="3" t="n"/>
      <c r="F19" s="4" t="n"/>
      <c r="G19" s="3" t="n"/>
      <c r="H19" s="5">
        <f>IF(C19="","",MIN(F19,46800000))</f>
        <v/>
      </c>
      <c r="I19" s="5">
        <f>IF(C19="","",MIN(F19,IF(G19="I",99200000,IF(G19="II",88200000,IF(G19="III",77200000,69000000)))))</f>
        <v/>
      </c>
      <c r="J19" s="5">
        <f>IF(C19="","",ROUND(H19*8%,0))</f>
        <v/>
      </c>
      <c r="K19" s="5">
        <f>IF(C19="","",ROUND(H19*1.5%,0))</f>
        <v/>
      </c>
      <c r="L19" s="5">
        <f>IF(C19="","",ROUND(I19*1%,0))</f>
        <v/>
      </c>
      <c r="M19" s="5">
        <f>IF(C19="","",J19+K19+L19)</f>
        <v/>
      </c>
      <c r="N19" s="5">
        <f>IF(C19="","",ROUND(H19*17.5%,0))</f>
        <v/>
      </c>
      <c r="O19" s="5">
        <f>IF(C19="","",ROUND(H19*3%,0))</f>
        <v/>
      </c>
      <c r="P19" s="5">
        <f>IF(C19="","",ROUND(I19*1%,0))</f>
        <v/>
      </c>
      <c r="Q19" s="5">
        <f>IF(C19="","",N19+O19+P19)</f>
        <v/>
      </c>
      <c r="R19" s="5">
        <f>IF(C19="","",M19+Q19)</f>
        <v/>
      </c>
    </row>
    <row r="20">
      <c r="A20" s="2" t="n"/>
      <c r="B20" s="3" t="n"/>
      <c r="C20" s="3" t="n"/>
      <c r="D20" s="3" t="n"/>
      <c r="E20" s="3" t="n"/>
      <c r="F20" s="4" t="n"/>
      <c r="G20" s="3" t="n"/>
      <c r="H20" s="5">
        <f>IF(C20="","",MIN(F20,46800000))</f>
        <v/>
      </c>
      <c r="I20" s="5">
        <f>IF(C20="","",MIN(F20,IF(G20="I",99200000,IF(G20="II",88200000,IF(G20="III",77200000,69000000)))))</f>
        <v/>
      </c>
      <c r="J20" s="5">
        <f>IF(C20="","",ROUND(H20*8%,0))</f>
        <v/>
      </c>
      <c r="K20" s="5">
        <f>IF(C20="","",ROUND(H20*1.5%,0))</f>
        <v/>
      </c>
      <c r="L20" s="5">
        <f>IF(C20="","",ROUND(I20*1%,0))</f>
        <v/>
      </c>
      <c r="M20" s="5">
        <f>IF(C20="","",J20+K20+L20)</f>
        <v/>
      </c>
      <c r="N20" s="5">
        <f>IF(C20="","",ROUND(H20*17.5%,0))</f>
        <v/>
      </c>
      <c r="O20" s="5">
        <f>IF(C20="","",ROUND(H20*3%,0))</f>
        <v/>
      </c>
      <c r="P20" s="5">
        <f>IF(C20="","",ROUND(I20*1%,0))</f>
        <v/>
      </c>
      <c r="Q20" s="5">
        <f>IF(C20="","",N20+O20+P20)</f>
        <v/>
      </c>
      <c r="R20" s="5">
        <f>IF(C20="","",M20+Q20)</f>
        <v/>
      </c>
    </row>
    <row r="21">
      <c r="A21" s="2" t="n"/>
      <c r="B21" s="3" t="n"/>
      <c r="C21" s="3" t="n"/>
      <c r="D21" s="3" t="n"/>
      <c r="E21" s="3" t="n"/>
      <c r="F21" s="4" t="n"/>
      <c r="G21" s="3" t="n"/>
      <c r="H21" s="5">
        <f>IF(C21="","",MIN(F21,46800000))</f>
        <v/>
      </c>
      <c r="I21" s="5">
        <f>IF(C21="","",MIN(F21,IF(G21="I",99200000,IF(G21="II",88200000,IF(G21="III",77200000,69000000)))))</f>
        <v/>
      </c>
      <c r="J21" s="5">
        <f>IF(C21="","",ROUND(H21*8%,0))</f>
        <v/>
      </c>
      <c r="K21" s="5">
        <f>IF(C21="","",ROUND(H21*1.5%,0))</f>
        <v/>
      </c>
      <c r="L21" s="5">
        <f>IF(C21="","",ROUND(I21*1%,0))</f>
        <v/>
      </c>
      <c r="M21" s="5">
        <f>IF(C21="","",J21+K21+L21)</f>
        <v/>
      </c>
      <c r="N21" s="5">
        <f>IF(C21="","",ROUND(H21*17.5%,0))</f>
        <v/>
      </c>
      <c r="O21" s="5">
        <f>IF(C21="","",ROUND(H21*3%,0))</f>
        <v/>
      </c>
      <c r="P21" s="5">
        <f>IF(C21="","",ROUND(I21*1%,0))</f>
        <v/>
      </c>
      <c r="Q21" s="5">
        <f>IF(C21="","",N21+O21+P21)</f>
        <v/>
      </c>
      <c r="R21" s="5">
        <f>IF(C21="","",M21+Q21)</f>
        <v/>
      </c>
    </row>
    <row r="22">
      <c r="A22" s="2" t="n"/>
      <c r="B22" s="3" t="n"/>
      <c r="C22" s="3" t="n"/>
      <c r="D22" s="3" t="n"/>
      <c r="E22" s="3" t="n"/>
      <c r="F22" s="4" t="n"/>
      <c r="G22" s="3" t="n"/>
      <c r="H22" s="5">
        <f>IF(C22="","",MIN(F22,46800000))</f>
        <v/>
      </c>
      <c r="I22" s="5">
        <f>IF(C22="","",MIN(F22,IF(G22="I",99200000,IF(G22="II",88200000,IF(G22="III",77200000,69000000)))))</f>
        <v/>
      </c>
      <c r="J22" s="5">
        <f>IF(C22="","",ROUND(H22*8%,0))</f>
        <v/>
      </c>
      <c r="K22" s="5">
        <f>IF(C22="","",ROUND(H22*1.5%,0))</f>
        <v/>
      </c>
      <c r="L22" s="5">
        <f>IF(C22="","",ROUND(I22*1%,0))</f>
        <v/>
      </c>
      <c r="M22" s="5">
        <f>IF(C22="","",J22+K22+L22)</f>
        <v/>
      </c>
      <c r="N22" s="5">
        <f>IF(C22="","",ROUND(H22*17.5%,0))</f>
        <v/>
      </c>
      <c r="O22" s="5">
        <f>IF(C22="","",ROUND(H22*3%,0))</f>
        <v/>
      </c>
      <c r="P22" s="5">
        <f>IF(C22="","",ROUND(I22*1%,0))</f>
        <v/>
      </c>
      <c r="Q22" s="5">
        <f>IF(C22="","",N22+O22+P22)</f>
        <v/>
      </c>
      <c r="R22" s="5">
        <f>IF(C22="","",M22+Q22)</f>
        <v/>
      </c>
    </row>
    <row r="23">
      <c r="A23" s="2" t="n"/>
      <c r="B23" s="3" t="n"/>
      <c r="C23" s="3" t="n"/>
      <c r="D23" s="3" t="n"/>
      <c r="E23" s="3" t="n"/>
      <c r="F23" s="4" t="n"/>
      <c r="G23" s="3" t="n"/>
      <c r="H23" s="5">
        <f>IF(C23="","",MIN(F23,46800000))</f>
        <v/>
      </c>
      <c r="I23" s="5">
        <f>IF(C23="","",MIN(F23,IF(G23="I",99200000,IF(G23="II",88200000,IF(G23="III",77200000,69000000)))))</f>
        <v/>
      </c>
      <c r="J23" s="5">
        <f>IF(C23="","",ROUND(H23*8%,0))</f>
        <v/>
      </c>
      <c r="K23" s="5">
        <f>IF(C23="","",ROUND(H23*1.5%,0))</f>
        <v/>
      </c>
      <c r="L23" s="5">
        <f>IF(C23="","",ROUND(I23*1%,0))</f>
        <v/>
      </c>
      <c r="M23" s="5">
        <f>IF(C23="","",J23+K23+L23)</f>
        <v/>
      </c>
      <c r="N23" s="5">
        <f>IF(C23="","",ROUND(H23*17.5%,0))</f>
        <v/>
      </c>
      <c r="O23" s="5">
        <f>IF(C23="","",ROUND(H23*3%,0))</f>
        <v/>
      </c>
      <c r="P23" s="5">
        <f>IF(C23="","",ROUND(I23*1%,0))</f>
        <v/>
      </c>
      <c r="Q23" s="5">
        <f>IF(C23="","",N23+O23+P23)</f>
        <v/>
      </c>
      <c r="R23" s="5">
        <f>IF(C23="","",M23+Q23)</f>
        <v/>
      </c>
    </row>
    <row r="24">
      <c r="A24" s="2" t="n"/>
      <c r="B24" s="3" t="n"/>
      <c r="C24" s="3" t="n"/>
      <c r="D24" s="3" t="n"/>
      <c r="E24" s="3" t="n"/>
      <c r="F24" s="4" t="n"/>
      <c r="G24" s="3" t="n"/>
      <c r="H24" s="5">
        <f>IF(C24="","",MIN(F24,46800000))</f>
        <v/>
      </c>
      <c r="I24" s="5">
        <f>IF(C24="","",MIN(F24,IF(G24="I",99200000,IF(G24="II",88200000,IF(G24="III",77200000,69000000)))))</f>
        <v/>
      </c>
      <c r="J24" s="5">
        <f>IF(C24="","",ROUND(H24*8%,0))</f>
        <v/>
      </c>
      <c r="K24" s="5">
        <f>IF(C24="","",ROUND(H24*1.5%,0))</f>
        <v/>
      </c>
      <c r="L24" s="5">
        <f>IF(C24="","",ROUND(I24*1%,0))</f>
        <v/>
      </c>
      <c r="M24" s="5">
        <f>IF(C24="","",J24+K24+L24)</f>
        <v/>
      </c>
      <c r="N24" s="5">
        <f>IF(C24="","",ROUND(H24*17.5%,0))</f>
        <v/>
      </c>
      <c r="O24" s="5">
        <f>IF(C24="","",ROUND(H24*3%,0))</f>
        <v/>
      </c>
      <c r="P24" s="5">
        <f>IF(C24="","",ROUND(I24*1%,0))</f>
        <v/>
      </c>
      <c r="Q24" s="5">
        <f>IF(C24="","",N24+O24+P24)</f>
        <v/>
      </c>
      <c r="R24" s="5">
        <f>IF(C24="","",M24+Q24)</f>
        <v/>
      </c>
    </row>
    <row r="25">
      <c r="A25" s="2" t="n"/>
      <c r="B25" s="3" t="n"/>
      <c r="C25" s="3" t="n"/>
      <c r="D25" s="3" t="n"/>
      <c r="E25" s="3" t="n"/>
      <c r="F25" s="4" t="n"/>
      <c r="G25" s="3" t="n"/>
      <c r="H25" s="5">
        <f>IF(C25="","",MIN(F25,46800000))</f>
        <v/>
      </c>
      <c r="I25" s="5">
        <f>IF(C25="","",MIN(F25,IF(G25="I",99200000,IF(G25="II",88200000,IF(G25="III",77200000,69000000)))))</f>
        <v/>
      </c>
      <c r="J25" s="5">
        <f>IF(C25="","",ROUND(H25*8%,0))</f>
        <v/>
      </c>
      <c r="K25" s="5">
        <f>IF(C25="","",ROUND(H25*1.5%,0))</f>
        <v/>
      </c>
      <c r="L25" s="5">
        <f>IF(C25="","",ROUND(I25*1%,0))</f>
        <v/>
      </c>
      <c r="M25" s="5">
        <f>IF(C25="","",J25+K25+L25)</f>
        <v/>
      </c>
      <c r="N25" s="5">
        <f>IF(C25="","",ROUND(H25*17.5%,0))</f>
        <v/>
      </c>
      <c r="O25" s="5">
        <f>IF(C25="","",ROUND(H25*3%,0))</f>
        <v/>
      </c>
      <c r="P25" s="5">
        <f>IF(C25="","",ROUND(I25*1%,0))</f>
        <v/>
      </c>
      <c r="Q25" s="5">
        <f>IF(C25="","",N25+O25+P25)</f>
        <v/>
      </c>
      <c r="R25" s="5">
        <f>IF(C25="","",M25+Q25)</f>
        <v/>
      </c>
    </row>
    <row r="26">
      <c r="A26" s="2" t="n"/>
      <c r="B26" s="3" t="n"/>
      <c r="C26" s="3" t="n"/>
      <c r="D26" s="3" t="n"/>
      <c r="E26" s="3" t="n"/>
      <c r="F26" s="4" t="n"/>
      <c r="G26" s="3" t="n"/>
      <c r="H26" s="5">
        <f>IF(C26="","",MIN(F26,46800000))</f>
        <v/>
      </c>
      <c r="I26" s="5">
        <f>IF(C26="","",MIN(F26,IF(G26="I",99200000,IF(G26="II",88200000,IF(G26="III",77200000,69000000)))))</f>
        <v/>
      </c>
      <c r="J26" s="5">
        <f>IF(C26="","",ROUND(H26*8%,0))</f>
        <v/>
      </c>
      <c r="K26" s="5">
        <f>IF(C26="","",ROUND(H26*1.5%,0))</f>
        <v/>
      </c>
      <c r="L26" s="5">
        <f>IF(C26="","",ROUND(I26*1%,0))</f>
        <v/>
      </c>
      <c r="M26" s="5">
        <f>IF(C26="","",J26+K26+L26)</f>
        <v/>
      </c>
      <c r="N26" s="5">
        <f>IF(C26="","",ROUND(H26*17.5%,0))</f>
        <v/>
      </c>
      <c r="O26" s="5">
        <f>IF(C26="","",ROUND(H26*3%,0))</f>
        <v/>
      </c>
      <c r="P26" s="5">
        <f>IF(C26="","",ROUND(I26*1%,0))</f>
        <v/>
      </c>
      <c r="Q26" s="5">
        <f>IF(C26="","",N26+O26+P26)</f>
        <v/>
      </c>
      <c r="R26" s="5">
        <f>IF(C26="","",M26+Q26)</f>
        <v/>
      </c>
    </row>
    <row r="27">
      <c r="A27" s="2" t="n"/>
      <c r="B27" s="3" t="n"/>
      <c r="C27" s="3" t="n"/>
      <c r="D27" s="3" t="n"/>
      <c r="E27" s="3" t="n"/>
      <c r="F27" s="4" t="n"/>
      <c r="G27" s="3" t="n"/>
      <c r="H27" s="5">
        <f>IF(C27="","",MIN(F27,46800000))</f>
        <v/>
      </c>
      <c r="I27" s="5">
        <f>IF(C27="","",MIN(F27,IF(G27="I",99200000,IF(G27="II",88200000,IF(G27="III",77200000,69000000)))))</f>
        <v/>
      </c>
      <c r="J27" s="5">
        <f>IF(C27="","",ROUND(H27*8%,0))</f>
        <v/>
      </c>
      <c r="K27" s="5">
        <f>IF(C27="","",ROUND(H27*1.5%,0))</f>
        <v/>
      </c>
      <c r="L27" s="5">
        <f>IF(C27="","",ROUND(I27*1%,0))</f>
        <v/>
      </c>
      <c r="M27" s="5">
        <f>IF(C27="","",J27+K27+L27)</f>
        <v/>
      </c>
      <c r="N27" s="5">
        <f>IF(C27="","",ROUND(H27*17.5%,0))</f>
        <v/>
      </c>
      <c r="O27" s="5">
        <f>IF(C27="","",ROUND(H27*3%,0))</f>
        <v/>
      </c>
      <c r="P27" s="5">
        <f>IF(C27="","",ROUND(I27*1%,0))</f>
        <v/>
      </c>
      <c r="Q27" s="5">
        <f>IF(C27="","",N27+O27+P27)</f>
        <v/>
      </c>
      <c r="R27" s="5">
        <f>IF(C27="","",M27+Q27)</f>
        <v/>
      </c>
    </row>
    <row r="28">
      <c r="A28" s="2" t="n"/>
      <c r="B28" s="3" t="n"/>
      <c r="C28" s="3" t="n"/>
      <c r="D28" s="3" t="n"/>
      <c r="E28" s="3" t="n"/>
      <c r="F28" s="4" t="n"/>
      <c r="G28" s="3" t="n"/>
      <c r="H28" s="5">
        <f>IF(C28="","",MIN(F28,46800000))</f>
        <v/>
      </c>
      <c r="I28" s="5">
        <f>IF(C28="","",MIN(F28,IF(G28="I",99200000,IF(G28="II",88200000,IF(G28="III",77200000,69000000)))))</f>
        <v/>
      </c>
      <c r="J28" s="5">
        <f>IF(C28="","",ROUND(H28*8%,0))</f>
        <v/>
      </c>
      <c r="K28" s="5">
        <f>IF(C28="","",ROUND(H28*1.5%,0))</f>
        <v/>
      </c>
      <c r="L28" s="5">
        <f>IF(C28="","",ROUND(I28*1%,0))</f>
        <v/>
      </c>
      <c r="M28" s="5">
        <f>IF(C28="","",J28+K28+L28)</f>
        <v/>
      </c>
      <c r="N28" s="5">
        <f>IF(C28="","",ROUND(H28*17.5%,0))</f>
        <v/>
      </c>
      <c r="O28" s="5">
        <f>IF(C28="","",ROUND(H28*3%,0))</f>
        <v/>
      </c>
      <c r="P28" s="5">
        <f>IF(C28="","",ROUND(I28*1%,0))</f>
        <v/>
      </c>
      <c r="Q28" s="5">
        <f>IF(C28="","",N28+O28+P28)</f>
        <v/>
      </c>
      <c r="R28" s="5">
        <f>IF(C28="","",M28+Q28)</f>
        <v/>
      </c>
    </row>
    <row r="29">
      <c r="A29" s="2" t="n"/>
      <c r="B29" s="3" t="n"/>
      <c r="C29" s="3" t="n"/>
      <c r="D29" s="3" t="n"/>
      <c r="E29" s="3" t="n"/>
      <c r="F29" s="4" t="n"/>
      <c r="G29" s="3" t="n"/>
      <c r="H29" s="5">
        <f>IF(C29="","",MIN(F29,46800000))</f>
        <v/>
      </c>
      <c r="I29" s="5">
        <f>IF(C29="","",MIN(F29,IF(G29="I",99200000,IF(G29="II",88200000,IF(G29="III",77200000,69000000)))))</f>
        <v/>
      </c>
      <c r="J29" s="5">
        <f>IF(C29="","",ROUND(H29*8%,0))</f>
        <v/>
      </c>
      <c r="K29" s="5">
        <f>IF(C29="","",ROUND(H29*1.5%,0))</f>
        <v/>
      </c>
      <c r="L29" s="5">
        <f>IF(C29="","",ROUND(I29*1%,0))</f>
        <v/>
      </c>
      <c r="M29" s="5">
        <f>IF(C29="","",J29+K29+L29)</f>
        <v/>
      </c>
      <c r="N29" s="5">
        <f>IF(C29="","",ROUND(H29*17.5%,0))</f>
        <v/>
      </c>
      <c r="O29" s="5">
        <f>IF(C29="","",ROUND(H29*3%,0))</f>
        <v/>
      </c>
      <c r="P29" s="5">
        <f>IF(C29="","",ROUND(I29*1%,0))</f>
        <v/>
      </c>
      <c r="Q29" s="5">
        <f>IF(C29="","",N29+O29+P29)</f>
        <v/>
      </c>
      <c r="R29" s="5">
        <f>IF(C29="","",M29+Q29)</f>
        <v/>
      </c>
    </row>
    <row r="30">
      <c r="A30" s="2" t="n"/>
      <c r="B30" s="3" t="n"/>
      <c r="C30" s="3" t="n"/>
      <c r="D30" s="3" t="n"/>
      <c r="E30" s="3" t="n"/>
      <c r="F30" s="4" t="n"/>
      <c r="G30" s="3" t="n"/>
      <c r="H30" s="5">
        <f>IF(C30="","",MIN(F30,46800000))</f>
        <v/>
      </c>
      <c r="I30" s="5">
        <f>IF(C30="","",MIN(F30,IF(G30="I",99200000,IF(G30="II",88200000,IF(G30="III",77200000,69000000)))))</f>
        <v/>
      </c>
      <c r="J30" s="5">
        <f>IF(C30="","",ROUND(H30*8%,0))</f>
        <v/>
      </c>
      <c r="K30" s="5">
        <f>IF(C30="","",ROUND(H30*1.5%,0))</f>
        <v/>
      </c>
      <c r="L30" s="5">
        <f>IF(C30="","",ROUND(I30*1%,0))</f>
        <v/>
      </c>
      <c r="M30" s="5">
        <f>IF(C30="","",J30+K30+L30)</f>
        <v/>
      </c>
      <c r="N30" s="5">
        <f>IF(C30="","",ROUND(H30*17.5%,0))</f>
        <v/>
      </c>
      <c r="O30" s="5">
        <f>IF(C30="","",ROUND(H30*3%,0))</f>
        <v/>
      </c>
      <c r="P30" s="5">
        <f>IF(C30="","",ROUND(I30*1%,0))</f>
        <v/>
      </c>
      <c r="Q30" s="5">
        <f>IF(C30="","",N30+O30+P30)</f>
        <v/>
      </c>
      <c r="R30" s="5">
        <f>IF(C30="","",M30+Q30)</f>
        <v/>
      </c>
    </row>
    <row r="31">
      <c r="A31" s="2" t="n"/>
      <c r="B31" s="3" t="n"/>
      <c r="C31" s="3" t="n"/>
      <c r="D31" s="3" t="n"/>
      <c r="E31" s="3" t="n"/>
      <c r="F31" s="4" t="n"/>
      <c r="G31" s="3" t="n"/>
      <c r="H31" s="5">
        <f>IF(C31="","",MIN(F31,46800000))</f>
        <v/>
      </c>
      <c r="I31" s="5">
        <f>IF(C31="","",MIN(F31,IF(G31="I",99200000,IF(G31="II",88200000,IF(G31="III",77200000,69000000)))))</f>
        <v/>
      </c>
      <c r="J31" s="5">
        <f>IF(C31="","",ROUND(H31*8%,0))</f>
        <v/>
      </c>
      <c r="K31" s="5">
        <f>IF(C31="","",ROUND(H31*1.5%,0))</f>
        <v/>
      </c>
      <c r="L31" s="5">
        <f>IF(C31="","",ROUND(I31*1%,0))</f>
        <v/>
      </c>
      <c r="M31" s="5">
        <f>IF(C31="","",J31+K31+L31)</f>
        <v/>
      </c>
      <c r="N31" s="5">
        <f>IF(C31="","",ROUND(H31*17.5%,0))</f>
        <v/>
      </c>
      <c r="O31" s="5">
        <f>IF(C31="","",ROUND(H31*3%,0))</f>
        <v/>
      </c>
      <c r="P31" s="5">
        <f>IF(C31="","",ROUND(I31*1%,0))</f>
        <v/>
      </c>
      <c r="Q31" s="5">
        <f>IF(C31="","",N31+O31+P31)</f>
        <v/>
      </c>
      <c r="R31" s="5">
        <f>IF(C31="","",M31+Q31)</f>
        <v/>
      </c>
    </row>
  </sheetData>
  <autoFilter ref="A1:R31"/>
  <dataValidations count="2">
    <dataValidation sqref="D2:D31" showDropDown="0" showInputMessage="0" showErrorMessage="0" allowBlank="1" errorTitle="Sai định dạng" error="Giá trị không hợp lệ cho cột này." type="list">
      <formula1>"Kinh doanh,Kế toán,Nhân sự,Kỹ thuật,Kho vận"</formula1>
    </dataValidation>
    <dataValidation sqref="G2:G31" showDropDown="0" showInputMessage="0" showErrorMessage="0" allowBlank="1" errorTitle="Sai định dạng" error="Giá trị không hợp lệ cho cột này." type="list">
      <formula1>"I,II,III,IV"</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B40"/>
  <sheetViews>
    <sheetView workbookViewId="0">
      <selection activeCell="A1" sqref="A1"/>
    </sheetView>
  </sheetViews>
  <sheetFormatPr baseColWidth="8" defaultRowHeight="15"/>
  <cols>
    <col width="4" customWidth="1" min="1" max="1"/>
    <col width="100" customWidth="1" min="2" max="2"/>
  </cols>
  <sheetData>
    <row r="1">
      <c r="B1" s="6" t="inlineStr">
        <is>
          <t>Mẫu Excel tính bảo hiểm xã hội, tách rõ phần nhân viên và phần công ty</t>
        </is>
      </c>
    </row>
    <row r="2">
      <c r="B2" s="7" t="inlineStr"/>
    </row>
    <row r="3">
      <c r="B3" s="8" t="inlineStr">
        <is>
          <t>CÁCH DÙNG</t>
        </is>
      </c>
    </row>
    <row r="4">
      <c r="B4" s="9" t="inlineStr">
        <is>
          <t>1. Nhập tiền lương làm căn cứ đóng, không nhập tổng thu nhập</t>
        </is>
      </c>
    </row>
    <row r="5">
      <c r="B5" s="7" t="inlineStr">
        <is>
          <t xml:space="preserve">   Căn cứ đóng gồm lương theo hợp đồng, phụ cấp chức vụ, phụ cấp thâm niên và các khoản bổ sung xác định được trước. Không gồm tiền tăng ca, tiền làm đêm, thưởng theo kết quả kinh doanh, tiền ăn giữa ca hay tiền xăng xe. Lấy nhầm tổng thu nhập vào đây là đóng vượt, và phần vượt không đòi lại được dễ dàng.</t>
        </is>
      </c>
    </row>
    <row r="6">
      <c r="B6" s="9" t="inlineStr">
        <is>
          <t>2. Chọn đúng vùng lương tối thiểu của nơi đặt trụ sở làm việc</t>
        </is>
      </c>
    </row>
    <row r="7">
      <c r="B7" s="7" t="inlineStr">
        <is>
          <t xml:space="preserve">   Vùng quyết định trần của bảo hiểm thất nghiệp, không quyết định trần của bảo hiểm xã hội. Vùng lấy theo địa bàn nơi người lao động làm việc thực tế, không lấy theo nơi đăng ký kinh doanh của công ty.</t>
        </is>
      </c>
    </row>
    <row r="8">
      <c r="B8" s="9" t="inlineStr">
        <is>
          <t>3. Đọc hai cột mức nền trước khi tin các cột tiền</t>
        </is>
      </c>
    </row>
    <row r="9">
      <c r="B9" s="7" t="inlineStr">
        <is>
          <t xml:space="preserve">   Hai cột Nền BHXH và BHYT với Nền BHTN là chỗ trần được áp. Với người lương dưới cả hai trần thì hai cột này bằng nhau và bằng lương đóng. Thấy chúng lệch nhau tức là người đó đã chạm trần, và đó là dấu hiệu để bạn soát lại con số lương đóng.</t>
        </is>
      </c>
    </row>
    <row r="10">
      <c r="B10" s="9" t="inlineStr">
        <is>
          <t>4. Chuyển cột tổng nhân viên đóng sang bảng lương</t>
        </is>
      </c>
    </row>
    <row r="11">
      <c r="B11" s="7" t="inlineStr">
        <is>
          <t xml:space="preserve">   Dùng SUMIF theo cột Mã NV lấy cột Tổng NV đóng rồi điền vào cột Bảo hiểm của bảng tính lương. Đừng để bảng lương tự nhân 10,5% nếu công ty có người chạm trần, vì khi đó 10,5% của lương đóng sẽ khác 10,5% của mức nền đã bị chặn.</t>
        </is>
      </c>
    </row>
    <row r="12">
      <c r="B12" s="9" t="inlineStr">
        <is>
          <t>5. Cộng cột tổng công ty đóng vào chi phí nhân sự hằng tháng</t>
        </is>
      </c>
    </row>
    <row r="13">
      <c r="B13" s="7" t="inlineStr">
        <is>
          <t xml:space="preserve">   Phần 21,5% không xuất hiện trên phiếu lương nhưng vẫn là tiền thật công ty phải chi. Khi lập dự toán quỹ lương, chi phí một nhân sự bằng lương cộng phần này, không phải chỉ bằng lương.</t>
        </is>
      </c>
    </row>
    <row r="14">
      <c r="B14" s="7" t="inlineStr"/>
    </row>
    <row r="15">
      <c r="B15" s="8" t="inlineStr">
        <is>
          <t>CÔNG THỨC TRONG FILE</t>
        </is>
      </c>
    </row>
    <row r="16">
      <c r="B16" s="9" t="inlineStr">
        <is>
          <t>Nền BHXH và BHYT  —  =IF(C2="","",MIN(F2,46800000))</t>
        </is>
      </c>
    </row>
    <row r="17">
      <c r="B17" s="7" t="inlineStr">
        <is>
          <t xml:space="preserve">   Trần bằng 20 lần mức tham chiếu 2.340.000 đồng, tức 46.800.000 đồng, giống nhau ở mọi vùng. MIN cắt phần lương vượt trần nên người lương 60 triệu vẫn chỉ đóng trên 46,8 triệu. Mức tham chiếu đổi thì sửa đúng một con số ở đây.</t>
        </is>
      </c>
    </row>
    <row r="18">
      <c r="B18" s="9" t="inlineStr">
        <is>
          <t>Nền BHTN  —  =IF(C2="","",MIN(F2,IF(G2="I",99200000,IF(G2="II",88200000,IF(G2="III",77200000,69000000)))))</t>
        </is>
      </c>
    </row>
    <row r="19">
      <c r="B19" s="7" t="inlineStr">
        <is>
          <t xml:space="preserve">   Trần bảo hiểm thất nghiệp bằng 20 lần lương tối thiểu vùng, nên bốn vùng có bốn trần: 99,2 triệu, 88,2 triệu, 77,2 triệu và 69 triệu. Đây là lý do cột này thường khác cột Nền BHXH và BHYT với người lương cao.</t>
        </is>
      </c>
    </row>
    <row r="20">
      <c r="B20" s="9" t="inlineStr">
        <is>
          <t>NV: BHXH 8%  —  =IF(C2="","",ROUND(H2*8%,0))</t>
        </is>
      </c>
    </row>
    <row r="21">
      <c r="B21" s="7" t="inlineStr">
        <is>
          <t xml:space="preserve">   Phần người lao động đóng vào quỹ hưu trí và tử tuất. Nhân với mức nền đã chặn trần, không nhân với lương đóng, nên người chạm trần không bị tính vượt.</t>
        </is>
      </c>
    </row>
    <row r="22">
      <c r="B22" s="9" t="inlineStr">
        <is>
          <t>NV: BHYT 1,5%  —  =IF(C2="","",ROUND(H2*1.5%,0))</t>
        </is>
      </c>
    </row>
    <row r="23">
      <c r="B23" s="7" t="inlineStr">
        <is>
          <t xml:space="preserve">   Bảo hiểm y tế dùng chung mức nền với bảo hiểm xã hội vì cùng chặn ở 20 lần mức tham chiếu.</t>
        </is>
      </c>
    </row>
    <row r="24">
      <c r="B24" s="9" t="inlineStr">
        <is>
          <t>NV: BHTN 1%  —  =IF(C2="","",ROUND(I2*1%,0))</t>
        </is>
      </c>
    </row>
    <row r="25">
      <c r="B25" s="7" t="inlineStr">
        <is>
          <t xml:space="preserve">   Cột duy nhất của người lao động nhân với nền BHTN. Người nước ngoài không tham gia bảo hiểm thất nghiệp, dòng của họ phải sửa cột này về 0.</t>
        </is>
      </c>
    </row>
    <row r="26">
      <c r="B26" s="9" t="inlineStr">
        <is>
          <t>Tổng NV đóng  —  =IF(C2="","",J2+K2+L2)</t>
        </is>
      </c>
    </row>
    <row r="27">
      <c r="B27" s="7" t="inlineStr">
        <is>
          <t xml:space="preserve">   Bằng 10,5% lương đóng với người chưa chạm trần. Đây là con số trừ vào lương và phải hiện trên phiếu lương, cũng là con số bảng tính lương lấy sang cột Bảo hiểm.</t>
        </is>
      </c>
    </row>
    <row r="28">
      <c r="B28" s="9" t="inlineStr">
        <is>
          <t>DN: BHXH 17,5%  —  =IF(C2="","",ROUND(H2*17.5%,0))</t>
        </is>
      </c>
    </row>
    <row r="29">
      <c r="B29" s="7" t="inlineStr">
        <is>
          <t xml:space="preserve">   Gồm 14% quỹ hưu trí và tử tuất, 3% quỹ ốm đau và thai sản, 0,5% quỹ bảo hiểm tai nạn lao động và bệnh nghề nghiệp.</t>
        </is>
      </c>
    </row>
    <row r="30">
      <c r="B30" s="9" t="inlineStr">
        <is>
          <t>DN: BHYT 3%  —  =IF(C2="","",ROUND(H2*3%,0))</t>
        </is>
      </c>
    </row>
    <row r="31">
      <c r="B31" s="7" t="inlineStr">
        <is>
          <t xml:space="preserve">   Phần công ty đóng bảo hiểm y tế, gấp đôi phần 1,5% của người lao động.</t>
        </is>
      </c>
    </row>
    <row r="32">
      <c r="B32" s="9" t="inlineStr">
        <is>
          <t>DN: BHTN 1%  —  =IF(C2="","",ROUND(I2*1%,0))</t>
        </is>
      </c>
    </row>
    <row r="33">
      <c r="B33" s="7" t="inlineStr">
        <is>
          <t xml:space="preserve">   Hai bên cùng đóng 1% bảo hiểm thất nghiệp trên cùng một mức nền, nên cột này luôn bằng cột NV: BHTN 1%.</t>
        </is>
      </c>
    </row>
    <row r="34">
      <c r="B34" s="9" t="inlineStr">
        <is>
          <t>Tổng DN đóng  —  =IF(C2="","",N2+O2+P2)</t>
        </is>
      </c>
    </row>
    <row r="35">
      <c r="B35" s="7" t="inlineStr">
        <is>
          <t xml:space="preserve">   Bằng 21,5% lương đóng với người chưa chạm trần. Khoản này không hiện trên phiếu lương nhưng là chi phí thật, phải cộng vào dự toán quỹ lương.</t>
        </is>
      </c>
    </row>
    <row r="36">
      <c r="B36" s="9" t="inlineStr">
        <is>
          <t>Tổng nộp cơ quan BH  —  =IF(C2="","",M2+Q2)</t>
        </is>
      </c>
    </row>
    <row r="37">
      <c r="B37" s="7" t="inlineStr">
        <is>
          <t xml:space="preserve">   Số thực nộp cho cơ quan bảo hiểm của riêng người này, bằng 32% lương đóng khi chưa chạm trần. Cộng cả cột là số tiền công ty chuyển đi trong tháng.</t>
        </is>
      </c>
    </row>
    <row r="38">
      <c r="B38" s="7" t="inlineStr"/>
    </row>
    <row r="39">
      <c r="B39" s="9" t="inlineStr">
        <is>
          <t>Bản cập nhật mới nhất và hướng dẫn chi tiết:</t>
        </is>
      </c>
    </row>
    <row r="40">
      <c r="B40" s="10" t="inlineStr">
        <is>
          <t>https://excel.nguyenvietloc.com/mau-excel/nhan-su/bang-tinh-bao-hiem-xa-hoi</t>
        </is>
      </c>
    </row>
  </sheetData>
  <hyperlinks>
    <hyperlink xmlns:r="http://schemas.openxmlformats.org/officeDocument/2006/relationships" ref="B40"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2026-08-10T14:33:15Z</dcterms:created>
  <dcterms:modified xsi:type="dcterms:W3CDTF">2026-08-10T14:33:15Z</dcterms:modified>
</cp:coreProperties>
</file>