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sách NV" sheetId="1" state="visible" r:id="rId1"/>
    <sheet name="Nghỉ phép" sheetId="2" state="visible" r:id="rId2"/>
    <sheet name="Chấm công" sheetId="3" state="visible" r:id="rId3"/>
    <sheet name="Bảng lương" sheetId="4" state="visible" r:id="rId4"/>
    <sheet name="Tổng hợp" sheetId="5" state="visible" r:id="rId5"/>
    <sheet name="Biến động NS" sheetId="6" state="visible" r:id="rId6"/>
    <sheet name="Hướng dẫn" sheetId="7" state="visible" r:id="rId7"/>
  </sheets>
  <definedNames>
    <definedName name="_xlnm._FilterDatabase" localSheetId="0" hidden="1">'Danh sách NV'!$A$1:$L$31</definedName>
    <definedName name="_xlnm._FilterDatabase" localSheetId="1" hidden="1">'Nghỉ phép'!$A$1:$M$31</definedName>
    <definedName name="_xlnm._FilterDatabase" localSheetId="2" hidden="1">'Chấm công'!$A$1:$L$25</definedName>
    <definedName name="_xlnm._FilterDatabase" localSheetId="3" hidden="1">'Bảng lương'!$A$1:$P$25</definedName>
    <definedName name="_xlnm._FilterDatabase" localSheetId="4" hidden="1">'Tổng hợp'!$A$1:$J$21</definedName>
    <definedName name="_xlnm._FilterDatabase" localSheetId="5" hidden="1">'Biến động NS'!$A$1:$F$21</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4" fontId="0" fillId="3" borderId="1" pivotButton="0" quotePrefix="0" xfId="0"/>
    <xf numFmtId="167" fontId="0" fillId="3" borderId="1" pivotButton="0" quotePrefix="0" xfId="0"/>
    <xf numFmtId="49" fontId="0" fillId="3" borderId="1" pivotButton="0" quotePrefix="0" xfId="0"/>
    <xf numFmtId="168"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excel.nguyenvietloc.com/mau-excel/nhan-su/quan-ly-nhan-su-thang" TargetMode="External" Id="rId1" /></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22" customWidth="1" min="5" max="5"/>
    <col width="14" customWidth="1" min="6" max="6"/>
    <col width="14" customWidth="1" min="7" max="7"/>
    <col width="16" customWidth="1" min="8" max="8"/>
    <col width="14" customWidth="1" min="9" max="9"/>
    <col width="16" customWidth="1" min="10" max="10"/>
    <col width="14" customWidth="1" min="11" max="11"/>
    <col width="18" customWidth="1" min="12" max="12"/>
  </cols>
  <sheetData>
    <row r="1" ht="32" customHeight="1">
      <c r="A1" s="1" t="inlineStr">
        <is>
          <t>STT</t>
        </is>
      </c>
      <c r="B1" s="1" t="inlineStr">
        <is>
          <t>Mã NV</t>
        </is>
      </c>
      <c r="C1" s="1" t="inlineStr">
        <is>
          <t>Họ và tên</t>
        </is>
      </c>
      <c r="D1" s="1" t="inlineStr">
        <is>
          <t>Bộ phận</t>
        </is>
      </c>
      <c r="E1" s="1" t="inlineStr">
        <is>
          <t>Chức danh</t>
        </is>
      </c>
      <c r="F1" s="1" t="inlineStr">
        <is>
          <t>Ngày vào làm</t>
        </is>
      </c>
      <c r="G1" s="1" t="inlineStr">
        <is>
          <t>Ngày nghỉ việc</t>
        </is>
      </c>
      <c r="H1" s="1" t="inlineStr">
        <is>
          <t>Lương cơ bản</t>
        </is>
      </c>
      <c r="I1" s="1" t="inlineStr">
        <is>
          <t>Phụ cấp</t>
        </is>
      </c>
      <c r="J1" s="1" t="inlineStr">
        <is>
          <t>Số người phụ thuộc</t>
        </is>
      </c>
      <c r="K1" s="1" t="inlineStr">
        <is>
          <t>Trạng thái</t>
        </is>
      </c>
      <c r="L1" s="1" t="inlineStr">
        <is>
          <t>Thu nhập cố định</t>
        </is>
      </c>
    </row>
    <row r="2">
      <c r="A2" s="2" t="n">
        <v>1</v>
      </c>
      <c r="B2" s="3" t="inlineStr">
        <is>
          <t>NV001</t>
        </is>
      </c>
      <c r="C2" s="3" t="inlineStr">
        <is>
          <t>Nguyễn Thị Mai</t>
        </is>
      </c>
      <c r="D2" s="3" t="inlineStr">
        <is>
          <t>Kinh doanh</t>
        </is>
      </c>
      <c r="E2" s="3" t="inlineStr">
        <is>
          <t>Nhân viên kinh doanh</t>
        </is>
      </c>
      <c r="F2" s="4" t="n">
        <v>44991</v>
      </c>
      <c r="G2" s="4" t="n"/>
      <c r="H2" s="5" t="n">
        <v>18000000</v>
      </c>
      <c r="I2" s="5" t="n">
        <v>2000000</v>
      </c>
      <c r="J2" s="2" t="n">
        <v>0</v>
      </c>
      <c r="K2" s="6">
        <f>IF(C2="","",IF(G2="","Đang làm","Đã nghỉ"))</f>
        <v/>
      </c>
      <c r="L2" s="7">
        <f>IF(C2="","",IF(K2="Đã nghỉ",0,H2+I2))</f>
        <v/>
      </c>
    </row>
    <row r="3">
      <c r="A3" s="2" t="n">
        <v>2</v>
      </c>
      <c r="B3" s="3" t="inlineStr">
        <is>
          <t>NV002</t>
        </is>
      </c>
      <c r="C3" s="3" t="inlineStr">
        <is>
          <t>Trần Văn Hùng</t>
        </is>
      </c>
      <c r="D3" s="3" t="inlineStr">
        <is>
          <t>Kỹ thuật</t>
        </is>
      </c>
      <c r="E3" s="3" t="inlineStr">
        <is>
          <t>Trưởng phòng kỹ thuật</t>
        </is>
      </c>
      <c r="F3" s="4" t="n">
        <v>44424</v>
      </c>
      <c r="G3" s="4" t="n"/>
      <c r="H3" s="5" t="n">
        <v>35000000</v>
      </c>
      <c r="I3" s="5" t="n">
        <v>3000000</v>
      </c>
      <c r="J3" s="2" t="n">
        <v>2</v>
      </c>
      <c r="K3" s="6">
        <f>IF(C3="","",IF(G3="","Đang làm","Đã nghỉ"))</f>
        <v/>
      </c>
      <c r="L3" s="7">
        <f>IF(C3="","",IF(K3="Đã nghỉ",0,H3+I3))</f>
        <v/>
      </c>
    </row>
    <row r="4">
      <c r="A4" s="2" t="n">
        <v>3</v>
      </c>
      <c r="B4" s="3" t="inlineStr">
        <is>
          <t>NV003</t>
        </is>
      </c>
      <c r="C4" s="3" t="inlineStr">
        <is>
          <t>Lê Thu Hà</t>
        </is>
      </c>
      <c r="D4" s="3" t="inlineStr">
        <is>
          <t>Kế toán</t>
        </is>
      </c>
      <c r="E4" s="3" t="inlineStr">
        <is>
          <t>Kế toán tổng hợp</t>
        </is>
      </c>
      <c r="F4" s="4" t="n">
        <v>45293</v>
      </c>
      <c r="G4" s="4" t="n"/>
      <c r="H4" s="5" t="n">
        <v>12000000</v>
      </c>
      <c r="I4" s="5" t="n">
        <v>1500000</v>
      </c>
      <c r="J4" s="2" t="n">
        <v>1</v>
      </c>
      <c r="K4" s="6">
        <f>IF(C4="","",IF(G4="","Đang làm","Đã nghỉ"))</f>
        <v/>
      </c>
      <c r="L4" s="7">
        <f>IF(C4="","",IF(K4="Đã nghỉ",0,H4+I4))</f>
        <v/>
      </c>
    </row>
    <row r="5">
      <c r="A5" s="2" t="n">
        <v>4</v>
      </c>
      <c r="B5" s="3" t="inlineStr">
        <is>
          <t>NV004</t>
        </is>
      </c>
      <c r="C5" s="3" t="inlineStr">
        <is>
          <t>Phạm Minh Đức</t>
        </is>
      </c>
      <c r="D5" s="3" t="inlineStr">
        <is>
          <t>Kho vận</t>
        </is>
      </c>
      <c r="E5" s="3" t="inlineStr">
        <is>
          <t>Giám đốc vận hành</t>
        </is>
      </c>
      <c r="F5" s="4" t="n">
        <v>43955</v>
      </c>
      <c r="G5" s="4" t="n"/>
      <c r="H5" s="5" t="n">
        <v>70000000</v>
      </c>
      <c r="I5" s="5" t="n">
        <v>5000000</v>
      </c>
      <c r="J5" s="2" t="n">
        <v>2</v>
      </c>
      <c r="K5" s="6">
        <f>IF(C5="","",IF(G5="","Đang làm","Đã nghỉ"))</f>
        <v/>
      </c>
      <c r="L5" s="7">
        <f>IF(C5="","",IF(K5="Đã nghỉ",0,H5+I5))</f>
        <v/>
      </c>
    </row>
    <row r="6">
      <c r="A6" s="2" t="n">
        <v>5</v>
      </c>
      <c r="B6" s="3" t="inlineStr">
        <is>
          <t>NV005</t>
        </is>
      </c>
      <c r="C6" s="3" t="inlineStr">
        <is>
          <t>Vũ Hải Yến</t>
        </is>
      </c>
      <c r="D6" s="3" t="inlineStr">
        <is>
          <t>Nhân sự</t>
        </is>
      </c>
      <c r="E6" s="3" t="inlineStr">
        <is>
          <t>Chuyên viên tuyển dụng</t>
        </is>
      </c>
      <c r="F6" s="4" t="n">
        <v>44866</v>
      </c>
      <c r="G6" s="4" t="n">
        <v>46203</v>
      </c>
      <c r="H6" s="5" t="n">
        <v>15000000</v>
      </c>
      <c r="I6" s="5" t="n">
        <v>1500000</v>
      </c>
      <c r="J6" s="2" t="n">
        <v>0</v>
      </c>
      <c r="K6" s="6">
        <f>IF(C6="","",IF(G6="","Đang làm","Đã nghỉ"))</f>
        <v/>
      </c>
      <c r="L6" s="7">
        <f>IF(C6="","",IF(K6="Đã nghỉ",0,H6+I6))</f>
        <v/>
      </c>
    </row>
    <row r="7">
      <c r="A7" s="2" t="n"/>
      <c r="B7" s="3" t="n"/>
      <c r="C7" s="3" t="n"/>
      <c r="D7" s="3" t="n"/>
      <c r="E7" s="3" t="n"/>
      <c r="F7" s="4" t="n"/>
      <c r="G7" s="4" t="n"/>
      <c r="H7" s="5" t="n"/>
      <c r="I7" s="5" t="n"/>
      <c r="J7" s="2" t="n"/>
      <c r="K7" s="6">
        <f>IF(C7="","",IF(G7="","Đang làm","Đã nghỉ"))</f>
        <v/>
      </c>
      <c r="L7" s="7">
        <f>IF(C7="","",IF(K7="Đã nghỉ",0,H7+I7))</f>
        <v/>
      </c>
    </row>
    <row r="8">
      <c r="A8" s="2" t="n"/>
      <c r="B8" s="3" t="n"/>
      <c r="C8" s="3" t="n"/>
      <c r="D8" s="3" t="n"/>
      <c r="E8" s="3" t="n"/>
      <c r="F8" s="4" t="n"/>
      <c r="G8" s="4" t="n"/>
      <c r="H8" s="5" t="n"/>
      <c r="I8" s="5" t="n"/>
      <c r="J8" s="2" t="n"/>
      <c r="K8" s="6">
        <f>IF(C8="","",IF(G8="","Đang làm","Đã nghỉ"))</f>
        <v/>
      </c>
      <c r="L8" s="7">
        <f>IF(C8="","",IF(K8="Đã nghỉ",0,H8+I8))</f>
        <v/>
      </c>
    </row>
    <row r="9">
      <c r="A9" s="2" t="n"/>
      <c r="B9" s="3" t="n"/>
      <c r="C9" s="3" t="n"/>
      <c r="D9" s="3" t="n"/>
      <c r="E9" s="3" t="n"/>
      <c r="F9" s="4" t="n"/>
      <c r="G9" s="4" t="n"/>
      <c r="H9" s="5" t="n"/>
      <c r="I9" s="5" t="n"/>
      <c r="J9" s="2" t="n"/>
      <c r="K9" s="6">
        <f>IF(C9="","",IF(G9="","Đang làm","Đã nghỉ"))</f>
        <v/>
      </c>
      <c r="L9" s="7">
        <f>IF(C9="","",IF(K9="Đã nghỉ",0,H9+I9))</f>
        <v/>
      </c>
    </row>
    <row r="10">
      <c r="A10" s="2" t="n"/>
      <c r="B10" s="3" t="n"/>
      <c r="C10" s="3" t="n"/>
      <c r="D10" s="3" t="n"/>
      <c r="E10" s="3" t="n"/>
      <c r="F10" s="4" t="n"/>
      <c r="G10" s="4" t="n"/>
      <c r="H10" s="5" t="n"/>
      <c r="I10" s="5" t="n"/>
      <c r="J10" s="2" t="n"/>
      <c r="K10" s="6">
        <f>IF(C10="","",IF(G10="","Đang làm","Đã nghỉ"))</f>
        <v/>
      </c>
      <c r="L10" s="7">
        <f>IF(C10="","",IF(K10="Đã nghỉ",0,H10+I10))</f>
        <v/>
      </c>
    </row>
    <row r="11">
      <c r="A11" s="2" t="n"/>
      <c r="B11" s="3" t="n"/>
      <c r="C11" s="3" t="n"/>
      <c r="D11" s="3" t="n"/>
      <c r="E11" s="3" t="n"/>
      <c r="F11" s="4" t="n"/>
      <c r="G11" s="4" t="n"/>
      <c r="H11" s="5" t="n"/>
      <c r="I11" s="5" t="n"/>
      <c r="J11" s="2" t="n"/>
      <c r="K11" s="6">
        <f>IF(C11="","",IF(G11="","Đang làm","Đã nghỉ"))</f>
        <v/>
      </c>
      <c r="L11" s="7">
        <f>IF(C11="","",IF(K11="Đã nghỉ",0,H11+I11))</f>
        <v/>
      </c>
    </row>
    <row r="12">
      <c r="A12" s="2" t="n"/>
      <c r="B12" s="3" t="n"/>
      <c r="C12" s="3" t="n"/>
      <c r="D12" s="3" t="n"/>
      <c r="E12" s="3" t="n"/>
      <c r="F12" s="4" t="n"/>
      <c r="G12" s="4" t="n"/>
      <c r="H12" s="5" t="n"/>
      <c r="I12" s="5" t="n"/>
      <c r="J12" s="2" t="n"/>
      <c r="K12" s="6">
        <f>IF(C12="","",IF(G12="","Đang làm","Đã nghỉ"))</f>
        <v/>
      </c>
      <c r="L12" s="7">
        <f>IF(C12="","",IF(K12="Đã nghỉ",0,H12+I12))</f>
        <v/>
      </c>
    </row>
    <row r="13">
      <c r="A13" s="2" t="n"/>
      <c r="B13" s="3" t="n"/>
      <c r="C13" s="3" t="n"/>
      <c r="D13" s="3" t="n"/>
      <c r="E13" s="3" t="n"/>
      <c r="F13" s="4" t="n"/>
      <c r="G13" s="4" t="n"/>
      <c r="H13" s="5" t="n"/>
      <c r="I13" s="5" t="n"/>
      <c r="J13" s="2" t="n"/>
      <c r="K13" s="6">
        <f>IF(C13="","",IF(G13="","Đang làm","Đã nghỉ"))</f>
        <v/>
      </c>
      <c r="L13" s="7">
        <f>IF(C13="","",IF(K13="Đã nghỉ",0,H13+I13))</f>
        <v/>
      </c>
    </row>
    <row r="14">
      <c r="A14" s="2" t="n"/>
      <c r="B14" s="3" t="n"/>
      <c r="C14" s="3" t="n"/>
      <c r="D14" s="3" t="n"/>
      <c r="E14" s="3" t="n"/>
      <c r="F14" s="4" t="n"/>
      <c r="G14" s="4" t="n"/>
      <c r="H14" s="5" t="n"/>
      <c r="I14" s="5" t="n"/>
      <c r="J14" s="2" t="n"/>
      <c r="K14" s="6">
        <f>IF(C14="","",IF(G14="","Đang làm","Đã nghỉ"))</f>
        <v/>
      </c>
      <c r="L14" s="7">
        <f>IF(C14="","",IF(K14="Đã nghỉ",0,H14+I14))</f>
        <v/>
      </c>
    </row>
    <row r="15">
      <c r="A15" s="2" t="n"/>
      <c r="B15" s="3" t="n"/>
      <c r="C15" s="3" t="n"/>
      <c r="D15" s="3" t="n"/>
      <c r="E15" s="3" t="n"/>
      <c r="F15" s="4" t="n"/>
      <c r="G15" s="4" t="n"/>
      <c r="H15" s="5" t="n"/>
      <c r="I15" s="5" t="n"/>
      <c r="J15" s="2" t="n"/>
      <c r="K15" s="6">
        <f>IF(C15="","",IF(G15="","Đang làm","Đã nghỉ"))</f>
        <v/>
      </c>
      <c r="L15" s="7">
        <f>IF(C15="","",IF(K15="Đã nghỉ",0,H15+I15))</f>
        <v/>
      </c>
    </row>
    <row r="16">
      <c r="A16" s="2" t="n"/>
      <c r="B16" s="3" t="n"/>
      <c r="C16" s="3" t="n"/>
      <c r="D16" s="3" t="n"/>
      <c r="E16" s="3" t="n"/>
      <c r="F16" s="4" t="n"/>
      <c r="G16" s="4" t="n"/>
      <c r="H16" s="5" t="n"/>
      <c r="I16" s="5" t="n"/>
      <c r="J16" s="2" t="n"/>
      <c r="K16" s="6">
        <f>IF(C16="","",IF(G16="","Đang làm","Đã nghỉ"))</f>
        <v/>
      </c>
      <c r="L16" s="7">
        <f>IF(C16="","",IF(K16="Đã nghỉ",0,H16+I16))</f>
        <v/>
      </c>
    </row>
    <row r="17">
      <c r="A17" s="2" t="n"/>
      <c r="B17" s="3" t="n"/>
      <c r="C17" s="3" t="n"/>
      <c r="D17" s="3" t="n"/>
      <c r="E17" s="3" t="n"/>
      <c r="F17" s="4" t="n"/>
      <c r="G17" s="4" t="n"/>
      <c r="H17" s="5" t="n"/>
      <c r="I17" s="5" t="n"/>
      <c r="J17" s="2" t="n"/>
      <c r="K17" s="6">
        <f>IF(C17="","",IF(G17="","Đang làm","Đã nghỉ"))</f>
        <v/>
      </c>
      <c r="L17" s="7">
        <f>IF(C17="","",IF(K17="Đã nghỉ",0,H17+I17))</f>
        <v/>
      </c>
    </row>
    <row r="18">
      <c r="A18" s="2" t="n"/>
      <c r="B18" s="3" t="n"/>
      <c r="C18" s="3" t="n"/>
      <c r="D18" s="3" t="n"/>
      <c r="E18" s="3" t="n"/>
      <c r="F18" s="4" t="n"/>
      <c r="G18" s="4" t="n"/>
      <c r="H18" s="5" t="n"/>
      <c r="I18" s="5" t="n"/>
      <c r="J18" s="2" t="n"/>
      <c r="K18" s="6">
        <f>IF(C18="","",IF(G18="","Đang làm","Đã nghỉ"))</f>
        <v/>
      </c>
      <c r="L18" s="7">
        <f>IF(C18="","",IF(K18="Đã nghỉ",0,H18+I18))</f>
        <v/>
      </c>
    </row>
    <row r="19">
      <c r="A19" s="2" t="n"/>
      <c r="B19" s="3" t="n"/>
      <c r="C19" s="3" t="n"/>
      <c r="D19" s="3" t="n"/>
      <c r="E19" s="3" t="n"/>
      <c r="F19" s="4" t="n"/>
      <c r="G19" s="4" t="n"/>
      <c r="H19" s="5" t="n"/>
      <c r="I19" s="5" t="n"/>
      <c r="J19" s="2" t="n"/>
      <c r="K19" s="6">
        <f>IF(C19="","",IF(G19="","Đang làm","Đã nghỉ"))</f>
        <v/>
      </c>
      <c r="L19" s="7">
        <f>IF(C19="","",IF(K19="Đã nghỉ",0,H19+I19))</f>
        <v/>
      </c>
    </row>
    <row r="20">
      <c r="A20" s="2" t="n"/>
      <c r="B20" s="3" t="n"/>
      <c r="C20" s="3" t="n"/>
      <c r="D20" s="3" t="n"/>
      <c r="E20" s="3" t="n"/>
      <c r="F20" s="4" t="n"/>
      <c r="G20" s="4" t="n"/>
      <c r="H20" s="5" t="n"/>
      <c r="I20" s="5" t="n"/>
      <c r="J20" s="2" t="n"/>
      <c r="K20" s="6">
        <f>IF(C20="","",IF(G20="","Đang làm","Đã nghỉ"))</f>
        <v/>
      </c>
      <c r="L20" s="7">
        <f>IF(C20="","",IF(K20="Đã nghỉ",0,H20+I20))</f>
        <v/>
      </c>
    </row>
    <row r="21">
      <c r="A21" s="2" t="n"/>
      <c r="B21" s="3" t="n"/>
      <c r="C21" s="3" t="n"/>
      <c r="D21" s="3" t="n"/>
      <c r="E21" s="3" t="n"/>
      <c r="F21" s="4" t="n"/>
      <c r="G21" s="4" t="n"/>
      <c r="H21" s="5" t="n"/>
      <c r="I21" s="5" t="n"/>
      <c r="J21" s="2" t="n"/>
      <c r="K21" s="6">
        <f>IF(C21="","",IF(G21="","Đang làm","Đã nghỉ"))</f>
        <v/>
      </c>
      <c r="L21" s="7">
        <f>IF(C21="","",IF(K21="Đã nghỉ",0,H21+I21))</f>
        <v/>
      </c>
    </row>
    <row r="22">
      <c r="A22" s="2" t="n"/>
      <c r="B22" s="3" t="n"/>
      <c r="C22" s="3" t="n"/>
      <c r="D22" s="3" t="n"/>
      <c r="E22" s="3" t="n"/>
      <c r="F22" s="4" t="n"/>
      <c r="G22" s="4" t="n"/>
      <c r="H22" s="5" t="n"/>
      <c r="I22" s="5" t="n"/>
      <c r="J22" s="2" t="n"/>
      <c r="K22" s="6">
        <f>IF(C22="","",IF(G22="","Đang làm","Đã nghỉ"))</f>
        <v/>
      </c>
      <c r="L22" s="7">
        <f>IF(C22="","",IF(K22="Đã nghỉ",0,H22+I22))</f>
        <v/>
      </c>
    </row>
    <row r="23">
      <c r="A23" s="2" t="n"/>
      <c r="B23" s="3" t="n"/>
      <c r="C23" s="3" t="n"/>
      <c r="D23" s="3" t="n"/>
      <c r="E23" s="3" t="n"/>
      <c r="F23" s="4" t="n"/>
      <c r="G23" s="4" t="n"/>
      <c r="H23" s="5" t="n"/>
      <c r="I23" s="5" t="n"/>
      <c r="J23" s="2" t="n"/>
      <c r="K23" s="6">
        <f>IF(C23="","",IF(G23="","Đang làm","Đã nghỉ"))</f>
        <v/>
      </c>
      <c r="L23" s="7">
        <f>IF(C23="","",IF(K23="Đã nghỉ",0,H23+I23))</f>
        <v/>
      </c>
    </row>
    <row r="24">
      <c r="A24" s="2" t="n"/>
      <c r="B24" s="3" t="n"/>
      <c r="C24" s="3" t="n"/>
      <c r="D24" s="3" t="n"/>
      <c r="E24" s="3" t="n"/>
      <c r="F24" s="4" t="n"/>
      <c r="G24" s="4" t="n"/>
      <c r="H24" s="5" t="n"/>
      <c r="I24" s="5" t="n"/>
      <c r="J24" s="2" t="n"/>
      <c r="K24" s="6">
        <f>IF(C24="","",IF(G24="","Đang làm","Đã nghỉ"))</f>
        <v/>
      </c>
      <c r="L24" s="7">
        <f>IF(C24="","",IF(K24="Đã nghỉ",0,H24+I24))</f>
        <v/>
      </c>
    </row>
    <row r="25">
      <c r="A25" s="2" t="n"/>
      <c r="B25" s="3" t="n"/>
      <c r="C25" s="3" t="n"/>
      <c r="D25" s="3" t="n"/>
      <c r="E25" s="3" t="n"/>
      <c r="F25" s="4" t="n"/>
      <c r="G25" s="4" t="n"/>
      <c r="H25" s="5" t="n"/>
      <c r="I25" s="5" t="n"/>
      <c r="J25" s="2" t="n"/>
      <c r="K25" s="6">
        <f>IF(C25="","",IF(G25="","Đang làm","Đã nghỉ"))</f>
        <v/>
      </c>
      <c r="L25" s="7">
        <f>IF(C25="","",IF(K25="Đã nghỉ",0,H25+I25))</f>
        <v/>
      </c>
    </row>
    <row r="26">
      <c r="A26" s="2" t="n"/>
      <c r="B26" s="3" t="n"/>
      <c r="C26" s="3" t="n"/>
      <c r="D26" s="3" t="n"/>
      <c r="E26" s="3" t="n"/>
      <c r="F26" s="4" t="n"/>
      <c r="G26" s="4" t="n"/>
      <c r="H26" s="5" t="n"/>
      <c r="I26" s="5" t="n"/>
      <c r="J26" s="2" t="n"/>
      <c r="K26" s="6">
        <f>IF(C26="","",IF(G26="","Đang làm","Đã nghỉ"))</f>
        <v/>
      </c>
      <c r="L26" s="7">
        <f>IF(C26="","",IF(K26="Đã nghỉ",0,H26+I26))</f>
        <v/>
      </c>
    </row>
    <row r="27">
      <c r="A27" s="2" t="n"/>
      <c r="B27" s="3" t="n"/>
      <c r="C27" s="3" t="n"/>
      <c r="D27" s="3" t="n"/>
      <c r="E27" s="3" t="n"/>
      <c r="F27" s="4" t="n"/>
      <c r="G27" s="4" t="n"/>
      <c r="H27" s="5" t="n"/>
      <c r="I27" s="5" t="n"/>
      <c r="J27" s="2" t="n"/>
      <c r="K27" s="6">
        <f>IF(C27="","",IF(G27="","Đang làm","Đã nghỉ"))</f>
        <v/>
      </c>
      <c r="L27" s="7">
        <f>IF(C27="","",IF(K27="Đã nghỉ",0,H27+I27))</f>
        <v/>
      </c>
    </row>
    <row r="28">
      <c r="A28" s="2" t="n"/>
      <c r="B28" s="3" t="n"/>
      <c r="C28" s="3" t="n"/>
      <c r="D28" s="3" t="n"/>
      <c r="E28" s="3" t="n"/>
      <c r="F28" s="4" t="n"/>
      <c r="G28" s="4" t="n"/>
      <c r="H28" s="5" t="n"/>
      <c r="I28" s="5" t="n"/>
      <c r="J28" s="2" t="n"/>
      <c r="K28" s="6">
        <f>IF(C28="","",IF(G28="","Đang làm","Đã nghỉ"))</f>
        <v/>
      </c>
      <c r="L28" s="7">
        <f>IF(C28="","",IF(K28="Đã nghỉ",0,H28+I28))</f>
        <v/>
      </c>
    </row>
    <row r="29">
      <c r="A29" s="2" t="n"/>
      <c r="B29" s="3" t="n"/>
      <c r="C29" s="3" t="n"/>
      <c r="D29" s="3" t="n"/>
      <c r="E29" s="3" t="n"/>
      <c r="F29" s="4" t="n"/>
      <c r="G29" s="4" t="n"/>
      <c r="H29" s="5" t="n"/>
      <c r="I29" s="5" t="n"/>
      <c r="J29" s="2" t="n"/>
      <c r="K29" s="6">
        <f>IF(C29="","",IF(G29="","Đang làm","Đã nghỉ"))</f>
        <v/>
      </c>
      <c r="L29" s="7">
        <f>IF(C29="","",IF(K29="Đã nghỉ",0,H29+I29))</f>
        <v/>
      </c>
    </row>
    <row r="30">
      <c r="A30" s="2" t="n"/>
      <c r="B30" s="3" t="n"/>
      <c r="C30" s="3" t="n"/>
      <c r="D30" s="3" t="n"/>
      <c r="E30" s="3" t="n"/>
      <c r="F30" s="4" t="n"/>
      <c r="G30" s="4" t="n"/>
      <c r="H30" s="5" t="n"/>
      <c r="I30" s="5" t="n"/>
      <c r="J30" s="2" t="n"/>
      <c r="K30" s="6">
        <f>IF(C30="","",IF(G30="","Đang làm","Đã nghỉ"))</f>
        <v/>
      </c>
      <c r="L30" s="7">
        <f>IF(C30="","",IF(K30="Đã nghỉ",0,H30+I30))</f>
        <v/>
      </c>
    </row>
    <row r="31">
      <c r="A31" s="2" t="n"/>
      <c r="B31" s="3" t="n"/>
      <c r="C31" s="3" t="n"/>
      <c r="D31" s="3" t="n"/>
      <c r="E31" s="3" t="n"/>
      <c r="F31" s="4" t="n"/>
      <c r="G31" s="4" t="n"/>
      <c r="H31" s="5" t="n"/>
      <c r="I31" s="5" t="n"/>
      <c r="J31" s="2" t="n"/>
      <c r="K31" s="6">
        <f>IF(C31="","",IF(G31="","Đang làm","Đã nghỉ"))</f>
        <v/>
      </c>
      <c r="L31" s="7">
        <f>IF(C31="","",IF(K31="Đã nghỉ",0,H31+I31))</f>
        <v/>
      </c>
    </row>
  </sheetData>
  <autoFilter ref="A1:L31"/>
  <dataValidations count="4">
    <dataValidation sqref="D2:D31" showDropDown="0" showInputMessage="0" showErrorMessage="0" allowBlank="1" errorTitle="Sai định dạng" error="Giá trị không hợp lệ cho cột này." type="list">
      <formula1>"Kinh doanh,Kế toán,Nhân sự,Kỹ thuật,Kho vận"</formula1>
    </dataValidation>
    <dataValidation sqref="H2:H31" showDropDown="0" showInputMessage="0" showErrorMessage="0" allowBlank="1" errorTitle="Sai định dạng" error="Giá trị không hợp lệ cho cột này." type="decimal" operator="between">
      <formula1>0</formula1>
      <formula2>1000000000</formula2>
    </dataValidation>
    <dataValidation sqref="I2:I31" showDropDown="0" showInputMessage="0" showErrorMessage="0" allowBlank="1" errorTitle="Sai định dạng" error="Giá trị không hợp lệ cho cột này." type="decimal" operator="between">
      <formula1>0</formula1>
      <formula2>1000000000</formula2>
    </dataValidation>
    <dataValidation sqref="J2:J31" showDropDown="0" showInputMessage="0" showErrorMessage="0" allowBlank="1" errorTitle="Sai định dạng" error="Giá trị không hợp lệ cho cột này." type="whole" operator="between">
      <formula1>0</formula1>
      <formula2>20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20" customWidth="1" min="5" max="5"/>
    <col width="13" customWidth="1" min="6" max="6"/>
    <col width="13" customWidth="1" min="7" max="7"/>
    <col width="10" customWidth="1" min="8" max="8"/>
    <col width="16" customWidth="1" min="9" max="9"/>
    <col width="28" customWidth="1" min="10" max="10"/>
    <col width="18" customWidth="1" min="11" max="11"/>
    <col width="16" customWidth="1" min="12" max="12"/>
    <col width="14" customWidth="1" min="13" max="13"/>
  </cols>
  <sheetData>
    <row r="1" ht="32" customHeight="1">
      <c r="A1" s="1" t="inlineStr">
        <is>
          <t>STT</t>
        </is>
      </c>
      <c r="B1" s="1" t="inlineStr">
        <is>
          <t>Mã NV</t>
        </is>
      </c>
      <c r="C1" s="1" t="inlineStr">
        <is>
          <t>Họ và tên</t>
        </is>
      </c>
      <c r="D1" s="1" t="inlineStr">
        <is>
          <t>Bộ phận</t>
        </is>
      </c>
      <c r="E1" s="1" t="inlineStr">
        <is>
          <t>Loại nghỉ</t>
        </is>
      </c>
      <c r="F1" s="1" t="inlineStr">
        <is>
          <t>Từ ngày</t>
        </is>
      </c>
      <c r="G1" s="1" t="inlineStr">
        <is>
          <t>Đến ngày</t>
        </is>
      </c>
      <c r="H1" s="1" t="inlineStr">
        <is>
          <t>Số ngày</t>
        </is>
      </c>
      <c r="I1" s="1" t="inlineStr">
        <is>
          <t>Trạng thái duyệt</t>
        </is>
      </c>
      <c r="J1" s="1" t="inlineStr">
        <is>
          <t>Lý do</t>
        </is>
      </c>
      <c r="K1" s="1" t="inlineStr">
        <is>
          <t>Ngày có hưởng lương</t>
        </is>
      </c>
      <c r="L1" s="1" t="inlineStr">
        <is>
          <t>Ngày không lương</t>
        </is>
      </c>
      <c r="M1" s="1" t="inlineStr">
        <is>
          <t>Trừ phép năm</t>
        </is>
      </c>
    </row>
    <row r="2">
      <c r="A2" s="2" t="n">
        <v>1</v>
      </c>
      <c r="B2" s="3" t="inlineStr">
        <is>
          <t>NV001</t>
        </is>
      </c>
      <c r="C2" s="8">
        <f>IFERROR(INDEX('Danh sách NV'!$C$2:$C$500,MATCH(B2,'Danh sách NV'!$B$2:$B$500,0)),"")</f>
        <v/>
      </c>
      <c r="D2" s="8">
        <f>IFERROR(INDEX('Danh sách NV'!$D$2:$D$500,MATCH(B2,'Danh sách NV'!$B$2:$B$500,0)),"")</f>
        <v/>
      </c>
      <c r="E2" s="3" t="inlineStr">
        <is>
          <t>Phép năm</t>
        </is>
      </c>
      <c r="F2" s="4" t="n">
        <v>46212</v>
      </c>
      <c r="G2" s="4" t="n">
        <v>46213</v>
      </c>
      <c r="H2" s="2" t="n">
        <v>2</v>
      </c>
      <c r="I2" s="3" t="inlineStr">
        <is>
          <t>Đã duyệt</t>
        </is>
      </c>
      <c r="J2" s="3" t="inlineStr">
        <is>
          <t>Việc gia đình</t>
        </is>
      </c>
      <c r="K2" s="6">
        <f>IF(C2="","",IF(AND(I2="Đã duyệt",OR(E2="Phép năm",E2="Nghỉ chế độ",E2="Nghỉ bù")),H2,0))</f>
        <v/>
      </c>
      <c r="L2" s="6">
        <f>IF(C2="","",IF(AND(I2="Đã duyệt",E2="Nghỉ không lương"),H2,0))</f>
        <v/>
      </c>
      <c r="M2" s="6">
        <f>IF(C2="","",IF(AND(I2="Đã duyệt",E2="Phép năm"),H2,0))</f>
        <v/>
      </c>
    </row>
    <row r="3">
      <c r="A3" s="2" t="n">
        <v>2</v>
      </c>
      <c r="B3" s="3" t="inlineStr">
        <is>
          <t>NV003</t>
        </is>
      </c>
      <c r="C3" s="8">
        <f>IFERROR(INDEX('Danh sách NV'!$C$2:$C$500,MATCH(B3,'Danh sách NV'!$B$2:$B$500,0)),"")</f>
        <v/>
      </c>
      <c r="D3" s="8">
        <f>IFERROR(INDEX('Danh sách NV'!$D$2:$D$500,MATCH(B3,'Danh sách NV'!$B$2:$B$500,0)),"")</f>
        <v/>
      </c>
      <c r="E3" s="3" t="inlineStr">
        <is>
          <t>Phép năm</t>
        </is>
      </c>
      <c r="F3" s="4" t="n">
        <v>46209</v>
      </c>
      <c r="G3" s="4" t="n">
        <v>46209</v>
      </c>
      <c r="H3" s="2" t="n">
        <v>1</v>
      </c>
      <c r="I3" s="3" t="inlineStr">
        <is>
          <t>Đã duyệt</t>
        </is>
      </c>
      <c r="J3" s="3" t="inlineStr">
        <is>
          <t>Khám sức khỏe định kỳ</t>
        </is>
      </c>
      <c r="K3" s="6">
        <f>IF(C3="","",IF(AND(I3="Đã duyệt",OR(E3="Phép năm",E3="Nghỉ chế độ",E3="Nghỉ bù")),H3,0))</f>
        <v/>
      </c>
      <c r="L3" s="6">
        <f>IF(C3="","",IF(AND(I3="Đã duyệt",E3="Nghỉ không lương"),H3,0))</f>
        <v/>
      </c>
      <c r="M3" s="6">
        <f>IF(C3="","",IF(AND(I3="Đã duyệt",E3="Phép năm"),H3,0))</f>
        <v/>
      </c>
    </row>
    <row r="4">
      <c r="A4" s="2" t="n">
        <v>3</v>
      </c>
      <c r="B4" s="3" t="inlineStr">
        <is>
          <t>NV003</t>
        </is>
      </c>
      <c r="C4" s="8">
        <f>IFERROR(INDEX('Danh sách NV'!$C$2:$C$500,MATCH(B4,'Danh sách NV'!$B$2:$B$500,0)),"")</f>
        <v/>
      </c>
      <c r="D4" s="8">
        <f>IFERROR(INDEX('Danh sách NV'!$D$2:$D$500,MATCH(B4,'Danh sách NV'!$B$2:$B$500,0)),"")</f>
        <v/>
      </c>
      <c r="E4" s="3" t="inlineStr">
        <is>
          <t>Nghỉ không lương</t>
        </is>
      </c>
      <c r="F4" s="4" t="n">
        <v>46223</v>
      </c>
      <c r="G4" s="4" t="n">
        <v>46226</v>
      </c>
      <c r="H4" s="2" t="n">
        <v>4</v>
      </c>
      <c r="I4" s="3" t="inlineStr">
        <is>
          <t>Đã duyệt</t>
        </is>
      </c>
      <c r="J4" s="3" t="inlineStr">
        <is>
          <t>Về quê giải quyết việc riêng</t>
        </is>
      </c>
      <c r="K4" s="6">
        <f>IF(C4="","",IF(AND(I4="Đã duyệt",OR(E4="Phép năm",E4="Nghỉ chế độ",E4="Nghỉ bù")),H4,0))</f>
        <v/>
      </c>
      <c r="L4" s="6">
        <f>IF(C4="","",IF(AND(I4="Đã duyệt",E4="Nghỉ không lương"),H4,0))</f>
        <v/>
      </c>
      <c r="M4" s="6">
        <f>IF(C4="","",IF(AND(I4="Đã duyệt",E4="Phép năm"),H4,0))</f>
        <v/>
      </c>
    </row>
    <row r="5">
      <c r="A5" s="2" t="n">
        <v>4</v>
      </c>
      <c r="B5" s="3" t="inlineStr">
        <is>
          <t>NV004</t>
        </is>
      </c>
      <c r="C5" s="8">
        <f>IFERROR(INDEX('Danh sách NV'!$C$2:$C$500,MATCH(B5,'Danh sách NV'!$B$2:$B$500,0)),"")</f>
        <v/>
      </c>
      <c r="D5" s="8">
        <f>IFERROR(INDEX('Danh sách NV'!$D$2:$D$500,MATCH(B5,'Danh sách NV'!$B$2:$B$500,0)),"")</f>
        <v/>
      </c>
      <c r="E5" s="3" t="inlineStr">
        <is>
          <t>Nghỉ không lương</t>
        </is>
      </c>
      <c r="F5" s="4" t="n">
        <v>46218</v>
      </c>
      <c r="G5" s="4" t="n">
        <v>46218</v>
      </c>
      <c r="H5" s="2" t="n">
        <v>1</v>
      </c>
      <c r="I5" s="3" t="inlineStr">
        <is>
          <t>Đã duyệt</t>
        </is>
      </c>
      <c r="J5" s="3" t="inlineStr">
        <is>
          <t>Việc cá nhân</t>
        </is>
      </c>
      <c r="K5" s="6">
        <f>IF(C5="","",IF(AND(I5="Đã duyệt",OR(E5="Phép năm",E5="Nghỉ chế độ",E5="Nghỉ bù")),H5,0))</f>
        <v/>
      </c>
      <c r="L5" s="6">
        <f>IF(C5="","",IF(AND(I5="Đã duyệt",E5="Nghỉ không lương"),H5,0))</f>
        <v/>
      </c>
      <c r="M5" s="6">
        <f>IF(C5="","",IF(AND(I5="Đã duyệt",E5="Phép năm"),H5,0))</f>
        <v/>
      </c>
    </row>
    <row r="6">
      <c r="A6" s="2" t="n">
        <v>5</v>
      </c>
      <c r="B6" s="3" t="inlineStr">
        <is>
          <t>NV002</t>
        </is>
      </c>
      <c r="C6" s="8">
        <f>IFERROR(INDEX('Danh sách NV'!$C$2:$C$500,MATCH(B6,'Danh sách NV'!$B$2:$B$500,0)),"")</f>
        <v/>
      </c>
      <c r="D6" s="8">
        <f>IFERROR(INDEX('Danh sách NV'!$D$2:$D$500,MATCH(B6,'Danh sách NV'!$B$2:$B$500,0)),"")</f>
        <v/>
      </c>
      <c r="E6" s="3" t="inlineStr">
        <is>
          <t>Phép năm</t>
        </is>
      </c>
      <c r="F6" s="4" t="n">
        <v>46237</v>
      </c>
      <c r="G6" s="4" t="n">
        <v>46237</v>
      </c>
      <c r="H6" s="2" t="n">
        <v>1</v>
      </c>
      <c r="I6" s="3" t="inlineStr">
        <is>
          <t>Chờ duyệt</t>
        </is>
      </c>
      <c r="J6" s="3" t="inlineStr">
        <is>
          <t>Đưa con nhập học</t>
        </is>
      </c>
      <c r="K6" s="6">
        <f>IF(C6="","",IF(AND(I6="Đã duyệt",OR(E6="Phép năm",E6="Nghỉ chế độ",E6="Nghỉ bù")),H6,0))</f>
        <v/>
      </c>
      <c r="L6" s="6">
        <f>IF(C6="","",IF(AND(I6="Đã duyệt",E6="Nghỉ không lương"),H6,0))</f>
        <v/>
      </c>
      <c r="M6" s="6">
        <f>IF(C6="","",IF(AND(I6="Đã duyệt",E6="Phép năm"),H6,0))</f>
        <v/>
      </c>
    </row>
    <row r="7">
      <c r="A7" s="2" t="n"/>
      <c r="B7" s="3" t="n"/>
      <c r="C7" s="8">
        <f>IFERROR(INDEX('Danh sách NV'!$C$2:$C$500,MATCH(B7,'Danh sách NV'!$B$2:$B$500,0)),"")</f>
        <v/>
      </c>
      <c r="D7" s="8">
        <f>IFERROR(INDEX('Danh sách NV'!$D$2:$D$500,MATCH(B7,'Danh sách NV'!$B$2:$B$500,0)),"")</f>
        <v/>
      </c>
      <c r="E7" s="3" t="n"/>
      <c r="F7" s="4" t="n"/>
      <c r="G7" s="4" t="n"/>
      <c r="H7" s="2" t="n"/>
      <c r="I7" s="3" t="n"/>
      <c r="J7" s="3" t="n"/>
      <c r="K7" s="6">
        <f>IF(C7="","",IF(AND(I7="Đã duyệt",OR(E7="Phép năm",E7="Nghỉ chế độ",E7="Nghỉ bù")),H7,0))</f>
        <v/>
      </c>
      <c r="L7" s="6">
        <f>IF(C7="","",IF(AND(I7="Đã duyệt",E7="Nghỉ không lương"),H7,0))</f>
        <v/>
      </c>
      <c r="M7" s="6">
        <f>IF(C7="","",IF(AND(I7="Đã duyệt",E7="Phép năm"),H7,0))</f>
        <v/>
      </c>
    </row>
    <row r="8">
      <c r="A8" s="2" t="n"/>
      <c r="B8" s="3" t="n"/>
      <c r="C8" s="8">
        <f>IFERROR(INDEX('Danh sách NV'!$C$2:$C$500,MATCH(B8,'Danh sách NV'!$B$2:$B$500,0)),"")</f>
        <v/>
      </c>
      <c r="D8" s="8">
        <f>IFERROR(INDEX('Danh sách NV'!$D$2:$D$500,MATCH(B8,'Danh sách NV'!$B$2:$B$500,0)),"")</f>
        <v/>
      </c>
      <c r="E8" s="3" t="n"/>
      <c r="F8" s="4" t="n"/>
      <c r="G8" s="4" t="n"/>
      <c r="H8" s="2" t="n"/>
      <c r="I8" s="3" t="n"/>
      <c r="J8" s="3" t="n"/>
      <c r="K8" s="6">
        <f>IF(C8="","",IF(AND(I8="Đã duyệt",OR(E8="Phép năm",E8="Nghỉ chế độ",E8="Nghỉ bù")),H8,0))</f>
        <v/>
      </c>
      <c r="L8" s="6">
        <f>IF(C8="","",IF(AND(I8="Đã duyệt",E8="Nghỉ không lương"),H8,0))</f>
        <v/>
      </c>
      <c r="M8" s="6">
        <f>IF(C8="","",IF(AND(I8="Đã duyệt",E8="Phép năm"),H8,0))</f>
        <v/>
      </c>
    </row>
    <row r="9">
      <c r="A9" s="2" t="n"/>
      <c r="B9" s="3" t="n"/>
      <c r="C9" s="8">
        <f>IFERROR(INDEX('Danh sách NV'!$C$2:$C$500,MATCH(B9,'Danh sách NV'!$B$2:$B$500,0)),"")</f>
        <v/>
      </c>
      <c r="D9" s="8">
        <f>IFERROR(INDEX('Danh sách NV'!$D$2:$D$500,MATCH(B9,'Danh sách NV'!$B$2:$B$500,0)),"")</f>
        <v/>
      </c>
      <c r="E9" s="3" t="n"/>
      <c r="F9" s="4" t="n"/>
      <c r="G9" s="4" t="n"/>
      <c r="H9" s="2" t="n"/>
      <c r="I9" s="3" t="n"/>
      <c r="J9" s="3" t="n"/>
      <c r="K9" s="6">
        <f>IF(C9="","",IF(AND(I9="Đã duyệt",OR(E9="Phép năm",E9="Nghỉ chế độ",E9="Nghỉ bù")),H9,0))</f>
        <v/>
      </c>
      <c r="L9" s="6">
        <f>IF(C9="","",IF(AND(I9="Đã duyệt",E9="Nghỉ không lương"),H9,0))</f>
        <v/>
      </c>
      <c r="M9" s="6">
        <f>IF(C9="","",IF(AND(I9="Đã duyệt",E9="Phép năm"),H9,0))</f>
        <v/>
      </c>
    </row>
    <row r="10">
      <c r="A10" s="2" t="n"/>
      <c r="B10" s="3" t="n"/>
      <c r="C10" s="8">
        <f>IFERROR(INDEX('Danh sách NV'!$C$2:$C$500,MATCH(B10,'Danh sách NV'!$B$2:$B$500,0)),"")</f>
        <v/>
      </c>
      <c r="D10" s="8">
        <f>IFERROR(INDEX('Danh sách NV'!$D$2:$D$500,MATCH(B10,'Danh sách NV'!$B$2:$B$500,0)),"")</f>
        <v/>
      </c>
      <c r="E10" s="3" t="n"/>
      <c r="F10" s="4" t="n"/>
      <c r="G10" s="4" t="n"/>
      <c r="H10" s="2" t="n"/>
      <c r="I10" s="3" t="n"/>
      <c r="J10" s="3" t="n"/>
      <c r="K10" s="6">
        <f>IF(C10="","",IF(AND(I10="Đã duyệt",OR(E10="Phép năm",E10="Nghỉ chế độ",E10="Nghỉ bù")),H10,0))</f>
        <v/>
      </c>
      <c r="L10" s="6">
        <f>IF(C10="","",IF(AND(I10="Đã duyệt",E10="Nghỉ không lương"),H10,0))</f>
        <v/>
      </c>
      <c r="M10" s="6">
        <f>IF(C10="","",IF(AND(I10="Đã duyệt",E10="Phép năm"),H10,0))</f>
        <v/>
      </c>
    </row>
    <row r="11">
      <c r="A11" s="2" t="n"/>
      <c r="B11" s="3" t="n"/>
      <c r="C11" s="8">
        <f>IFERROR(INDEX('Danh sách NV'!$C$2:$C$500,MATCH(B11,'Danh sách NV'!$B$2:$B$500,0)),"")</f>
        <v/>
      </c>
      <c r="D11" s="8">
        <f>IFERROR(INDEX('Danh sách NV'!$D$2:$D$500,MATCH(B11,'Danh sách NV'!$B$2:$B$500,0)),"")</f>
        <v/>
      </c>
      <c r="E11" s="3" t="n"/>
      <c r="F11" s="4" t="n"/>
      <c r="G11" s="4" t="n"/>
      <c r="H11" s="2" t="n"/>
      <c r="I11" s="3" t="n"/>
      <c r="J11" s="3" t="n"/>
      <c r="K11" s="6">
        <f>IF(C11="","",IF(AND(I11="Đã duyệt",OR(E11="Phép năm",E11="Nghỉ chế độ",E11="Nghỉ bù")),H11,0))</f>
        <v/>
      </c>
      <c r="L11" s="6">
        <f>IF(C11="","",IF(AND(I11="Đã duyệt",E11="Nghỉ không lương"),H11,0))</f>
        <v/>
      </c>
      <c r="M11" s="6">
        <f>IF(C11="","",IF(AND(I11="Đã duyệt",E11="Phép năm"),H11,0))</f>
        <v/>
      </c>
    </row>
    <row r="12">
      <c r="A12" s="2" t="n"/>
      <c r="B12" s="3" t="n"/>
      <c r="C12" s="8">
        <f>IFERROR(INDEX('Danh sách NV'!$C$2:$C$500,MATCH(B12,'Danh sách NV'!$B$2:$B$500,0)),"")</f>
        <v/>
      </c>
      <c r="D12" s="8">
        <f>IFERROR(INDEX('Danh sách NV'!$D$2:$D$500,MATCH(B12,'Danh sách NV'!$B$2:$B$500,0)),"")</f>
        <v/>
      </c>
      <c r="E12" s="3" t="n"/>
      <c r="F12" s="4" t="n"/>
      <c r="G12" s="4" t="n"/>
      <c r="H12" s="2" t="n"/>
      <c r="I12" s="3" t="n"/>
      <c r="J12" s="3" t="n"/>
      <c r="K12" s="6">
        <f>IF(C12="","",IF(AND(I12="Đã duyệt",OR(E12="Phép năm",E12="Nghỉ chế độ",E12="Nghỉ bù")),H12,0))</f>
        <v/>
      </c>
      <c r="L12" s="6">
        <f>IF(C12="","",IF(AND(I12="Đã duyệt",E12="Nghỉ không lương"),H12,0))</f>
        <v/>
      </c>
      <c r="M12" s="6">
        <f>IF(C12="","",IF(AND(I12="Đã duyệt",E12="Phép năm"),H12,0))</f>
        <v/>
      </c>
    </row>
    <row r="13">
      <c r="A13" s="2" t="n"/>
      <c r="B13" s="3" t="n"/>
      <c r="C13" s="8">
        <f>IFERROR(INDEX('Danh sách NV'!$C$2:$C$500,MATCH(B13,'Danh sách NV'!$B$2:$B$500,0)),"")</f>
        <v/>
      </c>
      <c r="D13" s="8">
        <f>IFERROR(INDEX('Danh sách NV'!$D$2:$D$500,MATCH(B13,'Danh sách NV'!$B$2:$B$500,0)),"")</f>
        <v/>
      </c>
      <c r="E13" s="3" t="n"/>
      <c r="F13" s="4" t="n"/>
      <c r="G13" s="4" t="n"/>
      <c r="H13" s="2" t="n"/>
      <c r="I13" s="3" t="n"/>
      <c r="J13" s="3" t="n"/>
      <c r="K13" s="6">
        <f>IF(C13="","",IF(AND(I13="Đã duyệt",OR(E13="Phép năm",E13="Nghỉ chế độ",E13="Nghỉ bù")),H13,0))</f>
        <v/>
      </c>
      <c r="L13" s="6">
        <f>IF(C13="","",IF(AND(I13="Đã duyệt",E13="Nghỉ không lương"),H13,0))</f>
        <v/>
      </c>
      <c r="M13" s="6">
        <f>IF(C13="","",IF(AND(I13="Đã duyệt",E13="Phép năm"),H13,0))</f>
        <v/>
      </c>
    </row>
    <row r="14">
      <c r="A14" s="2" t="n"/>
      <c r="B14" s="3" t="n"/>
      <c r="C14" s="8">
        <f>IFERROR(INDEX('Danh sách NV'!$C$2:$C$500,MATCH(B14,'Danh sách NV'!$B$2:$B$500,0)),"")</f>
        <v/>
      </c>
      <c r="D14" s="8">
        <f>IFERROR(INDEX('Danh sách NV'!$D$2:$D$500,MATCH(B14,'Danh sách NV'!$B$2:$B$500,0)),"")</f>
        <v/>
      </c>
      <c r="E14" s="3" t="n"/>
      <c r="F14" s="4" t="n"/>
      <c r="G14" s="4" t="n"/>
      <c r="H14" s="2" t="n"/>
      <c r="I14" s="3" t="n"/>
      <c r="J14" s="3" t="n"/>
      <c r="K14" s="6">
        <f>IF(C14="","",IF(AND(I14="Đã duyệt",OR(E14="Phép năm",E14="Nghỉ chế độ",E14="Nghỉ bù")),H14,0))</f>
        <v/>
      </c>
      <c r="L14" s="6">
        <f>IF(C14="","",IF(AND(I14="Đã duyệt",E14="Nghỉ không lương"),H14,0))</f>
        <v/>
      </c>
      <c r="M14" s="6">
        <f>IF(C14="","",IF(AND(I14="Đã duyệt",E14="Phép năm"),H14,0))</f>
        <v/>
      </c>
    </row>
    <row r="15">
      <c r="A15" s="2" t="n"/>
      <c r="B15" s="3" t="n"/>
      <c r="C15" s="8">
        <f>IFERROR(INDEX('Danh sách NV'!$C$2:$C$500,MATCH(B15,'Danh sách NV'!$B$2:$B$500,0)),"")</f>
        <v/>
      </c>
      <c r="D15" s="8">
        <f>IFERROR(INDEX('Danh sách NV'!$D$2:$D$500,MATCH(B15,'Danh sách NV'!$B$2:$B$500,0)),"")</f>
        <v/>
      </c>
      <c r="E15" s="3" t="n"/>
      <c r="F15" s="4" t="n"/>
      <c r="G15" s="4" t="n"/>
      <c r="H15" s="2" t="n"/>
      <c r="I15" s="3" t="n"/>
      <c r="J15" s="3" t="n"/>
      <c r="K15" s="6">
        <f>IF(C15="","",IF(AND(I15="Đã duyệt",OR(E15="Phép năm",E15="Nghỉ chế độ",E15="Nghỉ bù")),H15,0))</f>
        <v/>
      </c>
      <c r="L15" s="6">
        <f>IF(C15="","",IF(AND(I15="Đã duyệt",E15="Nghỉ không lương"),H15,0))</f>
        <v/>
      </c>
      <c r="M15" s="6">
        <f>IF(C15="","",IF(AND(I15="Đã duyệt",E15="Phép năm"),H15,0))</f>
        <v/>
      </c>
    </row>
    <row r="16">
      <c r="A16" s="2" t="n"/>
      <c r="B16" s="3" t="n"/>
      <c r="C16" s="8">
        <f>IFERROR(INDEX('Danh sách NV'!$C$2:$C$500,MATCH(B16,'Danh sách NV'!$B$2:$B$500,0)),"")</f>
        <v/>
      </c>
      <c r="D16" s="8">
        <f>IFERROR(INDEX('Danh sách NV'!$D$2:$D$500,MATCH(B16,'Danh sách NV'!$B$2:$B$500,0)),"")</f>
        <v/>
      </c>
      <c r="E16" s="3" t="n"/>
      <c r="F16" s="4" t="n"/>
      <c r="G16" s="4" t="n"/>
      <c r="H16" s="2" t="n"/>
      <c r="I16" s="3" t="n"/>
      <c r="J16" s="3" t="n"/>
      <c r="K16" s="6">
        <f>IF(C16="","",IF(AND(I16="Đã duyệt",OR(E16="Phép năm",E16="Nghỉ chế độ",E16="Nghỉ bù")),H16,0))</f>
        <v/>
      </c>
      <c r="L16" s="6">
        <f>IF(C16="","",IF(AND(I16="Đã duyệt",E16="Nghỉ không lương"),H16,0))</f>
        <v/>
      </c>
      <c r="M16" s="6">
        <f>IF(C16="","",IF(AND(I16="Đã duyệt",E16="Phép năm"),H16,0))</f>
        <v/>
      </c>
    </row>
    <row r="17">
      <c r="A17" s="2" t="n"/>
      <c r="B17" s="3" t="n"/>
      <c r="C17" s="8">
        <f>IFERROR(INDEX('Danh sách NV'!$C$2:$C$500,MATCH(B17,'Danh sách NV'!$B$2:$B$500,0)),"")</f>
        <v/>
      </c>
      <c r="D17" s="8">
        <f>IFERROR(INDEX('Danh sách NV'!$D$2:$D$500,MATCH(B17,'Danh sách NV'!$B$2:$B$500,0)),"")</f>
        <v/>
      </c>
      <c r="E17" s="3" t="n"/>
      <c r="F17" s="4" t="n"/>
      <c r="G17" s="4" t="n"/>
      <c r="H17" s="2" t="n"/>
      <c r="I17" s="3" t="n"/>
      <c r="J17" s="3" t="n"/>
      <c r="K17" s="6">
        <f>IF(C17="","",IF(AND(I17="Đã duyệt",OR(E17="Phép năm",E17="Nghỉ chế độ",E17="Nghỉ bù")),H17,0))</f>
        <v/>
      </c>
      <c r="L17" s="6">
        <f>IF(C17="","",IF(AND(I17="Đã duyệt",E17="Nghỉ không lương"),H17,0))</f>
        <v/>
      </c>
      <c r="M17" s="6">
        <f>IF(C17="","",IF(AND(I17="Đã duyệt",E17="Phép năm"),H17,0))</f>
        <v/>
      </c>
    </row>
    <row r="18">
      <c r="A18" s="2" t="n"/>
      <c r="B18" s="3" t="n"/>
      <c r="C18" s="8">
        <f>IFERROR(INDEX('Danh sách NV'!$C$2:$C$500,MATCH(B18,'Danh sách NV'!$B$2:$B$500,0)),"")</f>
        <v/>
      </c>
      <c r="D18" s="8">
        <f>IFERROR(INDEX('Danh sách NV'!$D$2:$D$500,MATCH(B18,'Danh sách NV'!$B$2:$B$500,0)),"")</f>
        <v/>
      </c>
      <c r="E18" s="3" t="n"/>
      <c r="F18" s="4" t="n"/>
      <c r="G18" s="4" t="n"/>
      <c r="H18" s="2" t="n"/>
      <c r="I18" s="3" t="n"/>
      <c r="J18" s="3" t="n"/>
      <c r="K18" s="6">
        <f>IF(C18="","",IF(AND(I18="Đã duyệt",OR(E18="Phép năm",E18="Nghỉ chế độ",E18="Nghỉ bù")),H18,0))</f>
        <v/>
      </c>
      <c r="L18" s="6">
        <f>IF(C18="","",IF(AND(I18="Đã duyệt",E18="Nghỉ không lương"),H18,0))</f>
        <v/>
      </c>
      <c r="M18" s="6">
        <f>IF(C18="","",IF(AND(I18="Đã duyệt",E18="Phép năm"),H18,0))</f>
        <v/>
      </c>
    </row>
    <row r="19">
      <c r="A19" s="2" t="n"/>
      <c r="B19" s="3" t="n"/>
      <c r="C19" s="8">
        <f>IFERROR(INDEX('Danh sách NV'!$C$2:$C$500,MATCH(B19,'Danh sách NV'!$B$2:$B$500,0)),"")</f>
        <v/>
      </c>
      <c r="D19" s="8">
        <f>IFERROR(INDEX('Danh sách NV'!$D$2:$D$500,MATCH(B19,'Danh sách NV'!$B$2:$B$500,0)),"")</f>
        <v/>
      </c>
      <c r="E19" s="3" t="n"/>
      <c r="F19" s="4" t="n"/>
      <c r="G19" s="4" t="n"/>
      <c r="H19" s="2" t="n"/>
      <c r="I19" s="3" t="n"/>
      <c r="J19" s="3" t="n"/>
      <c r="K19" s="6">
        <f>IF(C19="","",IF(AND(I19="Đã duyệt",OR(E19="Phép năm",E19="Nghỉ chế độ",E19="Nghỉ bù")),H19,0))</f>
        <v/>
      </c>
      <c r="L19" s="6">
        <f>IF(C19="","",IF(AND(I19="Đã duyệt",E19="Nghỉ không lương"),H19,0))</f>
        <v/>
      </c>
      <c r="M19" s="6">
        <f>IF(C19="","",IF(AND(I19="Đã duyệt",E19="Phép năm"),H19,0))</f>
        <v/>
      </c>
    </row>
    <row r="20">
      <c r="A20" s="2" t="n"/>
      <c r="B20" s="3" t="n"/>
      <c r="C20" s="8">
        <f>IFERROR(INDEX('Danh sách NV'!$C$2:$C$500,MATCH(B20,'Danh sách NV'!$B$2:$B$500,0)),"")</f>
        <v/>
      </c>
      <c r="D20" s="8">
        <f>IFERROR(INDEX('Danh sách NV'!$D$2:$D$500,MATCH(B20,'Danh sách NV'!$B$2:$B$500,0)),"")</f>
        <v/>
      </c>
      <c r="E20" s="3" t="n"/>
      <c r="F20" s="4" t="n"/>
      <c r="G20" s="4" t="n"/>
      <c r="H20" s="2" t="n"/>
      <c r="I20" s="3" t="n"/>
      <c r="J20" s="3" t="n"/>
      <c r="K20" s="6">
        <f>IF(C20="","",IF(AND(I20="Đã duyệt",OR(E20="Phép năm",E20="Nghỉ chế độ",E20="Nghỉ bù")),H20,0))</f>
        <v/>
      </c>
      <c r="L20" s="6">
        <f>IF(C20="","",IF(AND(I20="Đã duyệt",E20="Nghỉ không lương"),H20,0))</f>
        <v/>
      </c>
      <c r="M20" s="6">
        <f>IF(C20="","",IF(AND(I20="Đã duyệt",E20="Phép năm"),H20,0))</f>
        <v/>
      </c>
    </row>
    <row r="21">
      <c r="A21" s="2" t="n"/>
      <c r="B21" s="3" t="n"/>
      <c r="C21" s="8">
        <f>IFERROR(INDEX('Danh sách NV'!$C$2:$C$500,MATCH(B21,'Danh sách NV'!$B$2:$B$500,0)),"")</f>
        <v/>
      </c>
      <c r="D21" s="8">
        <f>IFERROR(INDEX('Danh sách NV'!$D$2:$D$500,MATCH(B21,'Danh sách NV'!$B$2:$B$500,0)),"")</f>
        <v/>
      </c>
      <c r="E21" s="3" t="n"/>
      <c r="F21" s="4" t="n"/>
      <c r="G21" s="4" t="n"/>
      <c r="H21" s="2" t="n"/>
      <c r="I21" s="3" t="n"/>
      <c r="J21" s="3" t="n"/>
      <c r="K21" s="6">
        <f>IF(C21="","",IF(AND(I21="Đã duyệt",OR(E21="Phép năm",E21="Nghỉ chế độ",E21="Nghỉ bù")),H21,0))</f>
        <v/>
      </c>
      <c r="L21" s="6">
        <f>IF(C21="","",IF(AND(I21="Đã duyệt",E21="Nghỉ không lương"),H21,0))</f>
        <v/>
      </c>
      <c r="M21" s="6">
        <f>IF(C21="","",IF(AND(I21="Đã duyệt",E21="Phép năm"),H21,0))</f>
        <v/>
      </c>
    </row>
    <row r="22">
      <c r="A22" s="2" t="n"/>
      <c r="B22" s="3" t="n"/>
      <c r="C22" s="8">
        <f>IFERROR(INDEX('Danh sách NV'!$C$2:$C$500,MATCH(B22,'Danh sách NV'!$B$2:$B$500,0)),"")</f>
        <v/>
      </c>
      <c r="D22" s="8">
        <f>IFERROR(INDEX('Danh sách NV'!$D$2:$D$500,MATCH(B22,'Danh sách NV'!$B$2:$B$500,0)),"")</f>
        <v/>
      </c>
      <c r="E22" s="3" t="n"/>
      <c r="F22" s="4" t="n"/>
      <c r="G22" s="4" t="n"/>
      <c r="H22" s="2" t="n"/>
      <c r="I22" s="3" t="n"/>
      <c r="J22" s="3" t="n"/>
      <c r="K22" s="6">
        <f>IF(C22="","",IF(AND(I22="Đã duyệt",OR(E22="Phép năm",E22="Nghỉ chế độ",E22="Nghỉ bù")),H22,0))</f>
        <v/>
      </c>
      <c r="L22" s="6">
        <f>IF(C22="","",IF(AND(I22="Đã duyệt",E22="Nghỉ không lương"),H22,0))</f>
        <v/>
      </c>
      <c r="M22" s="6">
        <f>IF(C22="","",IF(AND(I22="Đã duyệt",E22="Phép năm"),H22,0))</f>
        <v/>
      </c>
    </row>
    <row r="23">
      <c r="A23" s="2" t="n"/>
      <c r="B23" s="3" t="n"/>
      <c r="C23" s="8">
        <f>IFERROR(INDEX('Danh sách NV'!$C$2:$C$500,MATCH(B23,'Danh sách NV'!$B$2:$B$500,0)),"")</f>
        <v/>
      </c>
      <c r="D23" s="8">
        <f>IFERROR(INDEX('Danh sách NV'!$D$2:$D$500,MATCH(B23,'Danh sách NV'!$B$2:$B$500,0)),"")</f>
        <v/>
      </c>
      <c r="E23" s="3" t="n"/>
      <c r="F23" s="4" t="n"/>
      <c r="G23" s="4" t="n"/>
      <c r="H23" s="2" t="n"/>
      <c r="I23" s="3" t="n"/>
      <c r="J23" s="3" t="n"/>
      <c r="K23" s="6">
        <f>IF(C23="","",IF(AND(I23="Đã duyệt",OR(E23="Phép năm",E23="Nghỉ chế độ",E23="Nghỉ bù")),H23,0))</f>
        <v/>
      </c>
      <c r="L23" s="6">
        <f>IF(C23="","",IF(AND(I23="Đã duyệt",E23="Nghỉ không lương"),H23,0))</f>
        <v/>
      </c>
      <c r="M23" s="6">
        <f>IF(C23="","",IF(AND(I23="Đã duyệt",E23="Phép năm"),H23,0))</f>
        <v/>
      </c>
    </row>
    <row r="24">
      <c r="A24" s="2" t="n"/>
      <c r="B24" s="3" t="n"/>
      <c r="C24" s="8">
        <f>IFERROR(INDEX('Danh sách NV'!$C$2:$C$500,MATCH(B24,'Danh sách NV'!$B$2:$B$500,0)),"")</f>
        <v/>
      </c>
      <c r="D24" s="8">
        <f>IFERROR(INDEX('Danh sách NV'!$D$2:$D$500,MATCH(B24,'Danh sách NV'!$B$2:$B$500,0)),"")</f>
        <v/>
      </c>
      <c r="E24" s="3" t="n"/>
      <c r="F24" s="4" t="n"/>
      <c r="G24" s="4" t="n"/>
      <c r="H24" s="2" t="n"/>
      <c r="I24" s="3" t="n"/>
      <c r="J24" s="3" t="n"/>
      <c r="K24" s="6">
        <f>IF(C24="","",IF(AND(I24="Đã duyệt",OR(E24="Phép năm",E24="Nghỉ chế độ",E24="Nghỉ bù")),H24,0))</f>
        <v/>
      </c>
      <c r="L24" s="6">
        <f>IF(C24="","",IF(AND(I24="Đã duyệt",E24="Nghỉ không lương"),H24,0))</f>
        <v/>
      </c>
      <c r="M24" s="6">
        <f>IF(C24="","",IF(AND(I24="Đã duyệt",E24="Phép năm"),H24,0))</f>
        <v/>
      </c>
    </row>
    <row r="25">
      <c r="A25" s="2" t="n"/>
      <c r="B25" s="3" t="n"/>
      <c r="C25" s="8">
        <f>IFERROR(INDEX('Danh sách NV'!$C$2:$C$500,MATCH(B25,'Danh sách NV'!$B$2:$B$500,0)),"")</f>
        <v/>
      </c>
      <c r="D25" s="8">
        <f>IFERROR(INDEX('Danh sách NV'!$D$2:$D$500,MATCH(B25,'Danh sách NV'!$B$2:$B$500,0)),"")</f>
        <v/>
      </c>
      <c r="E25" s="3" t="n"/>
      <c r="F25" s="4" t="n"/>
      <c r="G25" s="4" t="n"/>
      <c r="H25" s="2" t="n"/>
      <c r="I25" s="3" t="n"/>
      <c r="J25" s="3" t="n"/>
      <c r="K25" s="6">
        <f>IF(C25="","",IF(AND(I25="Đã duyệt",OR(E25="Phép năm",E25="Nghỉ chế độ",E25="Nghỉ bù")),H25,0))</f>
        <v/>
      </c>
      <c r="L25" s="6">
        <f>IF(C25="","",IF(AND(I25="Đã duyệt",E25="Nghỉ không lương"),H25,0))</f>
        <v/>
      </c>
      <c r="M25" s="6">
        <f>IF(C25="","",IF(AND(I25="Đã duyệt",E25="Phép năm"),H25,0))</f>
        <v/>
      </c>
    </row>
    <row r="26">
      <c r="A26" s="2" t="n"/>
      <c r="B26" s="3" t="n"/>
      <c r="C26" s="8">
        <f>IFERROR(INDEX('Danh sách NV'!$C$2:$C$500,MATCH(B26,'Danh sách NV'!$B$2:$B$500,0)),"")</f>
        <v/>
      </c>
      <c r="D26" s="8">
        <f>IFERROR(INDEX('Danh sách NV'!$D$2:$D$500,MATCH(B26,'Danh sách NV'!$B$2:$B$500,0)),"")</f>
        <v/>
      </c>
      <c r="E26" s="3" t="n"/>
      <c r="F26" s="4" t="n"/>
      <c r="G26" s="4" t="n"/>
      <c r="H26" s="2" t="n"/>
      <c r="I26" s="3" t="n"/>
      <c r="J26" s="3" t="n"/>
      <c r="K26" s="6">
        <f>IF(C26="","",IF(AND(I26="Đã duyệt",OR(E26="Phép năm",E26="Nghỉ chế độ",E26="Nghỉ bù")),H26,0))</f>
        <v/>
      </c>
      <c r="L26" s="6">
        <f>IF(C26="","",IF(AND(I26="Đã duyệt",E26="Nghỉ không lương"),H26,0))</f>
        <v/>
      </c>
      <c r="M26" s="6">
        <f>IF(C26="","",IF(AND(I26="Đã duyệt",E26="Phép năm"),H26,0))</f>
        <v/>
      </c>
    </row>
    <row r="27">
      <c r="A27" s="2" t="n"/>
      <c r="B27" s="3" t="n"/>
      <c r="C27" s="8">
        <f>IFERROR(INDEX('Danh sách NV'!$C$2:$C$500,MATCH(B27,'Danh sách NV'!$B$2:$B$500,0)),"")</f>
        <v/>
      </c>
      <c r="D27" s="8">
        <f>IFERROR(INDEX('Danh sách NV'!$D$2:$D$500,MATCH(B27,'Danh sách NV'!$B$2:$B$500,0)),"")</f>
        <v/>
      </c>
      <c r="E27" s="3" t="n"/>
      <c r="F27" s="4" t="n"/>
      <c r="G27" s="4" t="n"/>
      <c r="H27" s="2" t="n"/>
      <c r="I27" s="3" t="n"/>
      <c r="J27" s="3" t="n"/>
      <c r="K27" s="6">
        <f>IF(C27="","",IF(AND(I27="Đã duyệt",OR(E27="Phép năm",E27="Nghỉ chế độ",E27="Nghỉ bù")),H27,0))</f>
        <v/>
      </c>
      <c r="L27" s="6">
        <f>IF(C27="","",IF(AND(I27="Đã duyệt",E27="Nghỉ không lương"),H27,0))</f>
        <v/>
      </c>
      <c r="M27" s="6">
        <f>IF(C27="","",IF(AND(I27="Đã duyệt",E27="Phép năm"),H27,0))</f>
        <v/>
      </c>
    </row>
    <row r="28">
      <c r="A28" s="2" t="n"/>
      <c r="B28" s="3" t="n"/>
      <c r="C28" s="8">
        <f>IFERROR(INDEX('Danh sách NV'!$C$2:$C$500,MATCH(B28,'Danh sách NV'!$B$2:$B$500,0)),"")</f>
        <v/>
      </c>
      <c r="D28" s="8">
        <f>IFERROR(INDEX('Danh sách NV'!$D$2:$D$500,MATCH(B28,'Danh sách NV'!$B$2:$B$500,0)),"")</f>
        <v/>
      </c>
      <c r="E28" s="3" t="n"/>
      <c r="F28" s="4" t="n"/>
      <c r="G28" s="4" t="n"/>
      <c r="H28" s="2" t="n"/>
      <c r="I28" s="3" t="n"/>
      <c r="J28" s="3" t="n"/>
      <c r="K28" s="6">
        <f>IF(C28="","",IF(AND(I28="Đã duyệt",OR(E28="Phép năm",E28="Nghỉ chế độ",E28="Nghỉ bù")),H28,0))</f>
        <v/>
      </c>
      <c r="L28" s="6">
        <f>IF(C28="","",IF(AND(I28="Đã duyệt",E28="Nghỉ không lương"),H28,0))</f>
        <v/>
      </c>
      <c r="M28" s="6">
        <f>IF(C28="","",IF(AND(I28="Đã duyệt",E28="Phép năm"),H28,0))</f>
        <v/>
      </c>
    </row>
    <row r="29">
      <c r="A29" s="2" t="n"/>
      <c r="B29" s="3" t="n"/>
      <c r="C29" s="8">
        <f>IFERROR(INDEX('Danh sách NV'!$C$2:$C$500,MATCH(B29,'Danh sách NV'!$B$2:$B$500,0)),"")</f>
        <v/>
      </c>
      <c r="D29" s="8">
        <f>IFERROR(INDEX('Danh sách NV'!$D$2:$D$500,MATCH(B29,'Danh sách NV'!$B$2:$B$500,0)),"")</f>
        <v/>
      </c>
      <c r="E29" s="3" t="n"/>
      <c r="F29" s="4" t="n"/>
      <c r="G29" s="4" t="n"/>
      <c r="H29" s="2" t="n"/>
      <c r="I29" s="3" t="n"/>
      <c r="J29" s="3" t="n"/>
      <c r="K29" s="6">
        <f>IF(C29="","",IF(AND(I29="Đã duyệt",OR(E29="Phép năm",E29="Nghỉ chế độ",E29="Nghỉ bù")),H29,0))</f>
        <v/>
      </c>
      <c r="L29" s="6">
        <f>IF(C29="","",IF(AND(I29="Đã duyệt",E29="Nghỉ không lương"),H29,0))</f>
        <v/>
      </c>
      <c r="M29" s="6">
        <f>IF(C29="","",IF(AND(I29="Đã duyệt",E29="Phép năm"),H29,0))</f>
        <v/>
      </c>
    </row>
    <row r="30">
      <c r="A30" s="2" t="n"/>
      <c r="B30" s="3" t="n"/>
      <c r="C30" s="8">
        <f>IFERROR(INDEX('Danh sách NV'!$C$2:$C$500,MATCH(B30,'Danh sách NV'!$B$2:$B$500,0)),"")</f>
        <v/>
      </c>
      <c r="D30" s="8">
        <f>IFERROR(INDEX('Danh sách NV'!$D$2:$D$500,MATCH(B30,'Danh sách NV'!$B$2:$B$500,0)),"")</f>
        <v/>
      </c>
      <c r="E30" s="3" t="n"/>
      <c r="F30" s="4" t="n"/>
      <c r="G30" s="4" t="n"/>
      <c r="H30" s="2" t="n"/>
      <c r="I30" s="3" t="n"/>
      <c r="J30" s="3" t="n"/>
      <c r="K30" s="6">
        <f>IF(C30="","",IF(AND(I30="Đã duyệt",OR(E30="Phép năm",E30="Nghỉ chế độ",E30="Nghỉ bù")),H30,0))</f>
        <v/>
      </c>
      <c r="L30" s="6">
        <f>IF(C30="","",IF(AND(I30="Đã duyệt",E30="Nghỉ không lương"),H30,0))</f>
        <v/>
      </c>
      <c r="M30" s="6">
        <f>IF(C30="","",IF(AND(I30="Đã duyệt",E30="Phép năm"),H30,0))</f>
        <v/>
      </c>
    </row>
    <row r="31">
      <c r="A31" s="2" t="n"/>
      <c r="B31" s="3" t="n"/>
      <c r="C31" s="8">
        <f>IFERROR(INDEX('Danh sách NV'!$C$2:$C$500,MATCH(B31,'Danh sách NV'!$B$2:$B$500,0)),"")</f>
        <v/>
      </c>
      <c r="D31" s="8">
        <f>IFERROR(INDEX('Danh sách NV'!$D$2:$D$500,MATCH(B31,'Danh sách NV'!$B$2:$B$500,0)),"")</f>
        <v/>
      </c>
      <c r="E31" s="3" t="n"/>
      <c r="F31" s="4" t="n"/>
      <c r="G31" s="4" t="n"/>
      <c r="H31" s="2" t="n"/>
      <c r="I31" s="3" t="n"/>
      <c r="J31" s="3" t="n"/>
      <c r="K31" s="6">
        <f>IF(C31="","",IF(AND(I31="Đã duyệt",OR(E31="Phép năm",E31="Nghỉ chế độ",E31="Nghỉ bù")),H31,0))</f>
        <v/>
      </c>
      <c r="L31" s="6">
        <f>IF(C31="","",IF(AND(I31="Đã duyệt",E31="Nghỉ không lương"),H31,0))</f>
        <v/>
      </c>
      <c r="M31" s="6">
        <f>IF(C31="","",IF(AND(I31="Đã duyệt",E31="Phép năm"),H31,0))</f>
        <v/>
      </c>
    </row>
  </sheetData>
  <autoFilter ref="A1:M31"/>
  <dataValidations count="3">
    <dataValidation sqref="E2:E31" showDropDown="0" showInputMessage="0" showErrorMessage="0" allowBlank="1" errorTitle="Sai định dạng" error="Giá trị không hợp lệ cho cột này." type="list">
      <formula1>"Phép năm,Nghỉ chế độ,Nghỉ ốm,Nghỉ không lương,Nghỉ bù"</formula1>
    </dataValidation>
    <dataValidation sqref="H2:H31" showDropDown="0" showInputMessage="0" showErrorMessage="0" allowBlank="1" errorTitle="Sai định dạng" error="Giá trị không hợp lệ cho cột này." type="decimal" operator="between">
      <formula1>0</formula1>
      <formula2>31</formula2>
    </dataValidation>
    <dataValidation sqref="I2:I31" showDropDown="0" showInputMessage="0" showErrorMessage="0" allowBlank="1" errorTitle="Sai định dạng" error="Giá trị không hợp lệ cho cột này." type="list">
      <formula1>"Đã duyệt,Chờ duyệt,Từ chối"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12" customWidth="1" min="5" max="5"/>
    <col width="16" customWidth="1" min="6" max="6"/>
    <col width="12" customWidth="1" min="7" max="7"/>
    <col width="16" customWidth="1" min="8" max="8"/>
    <col width="12" customWidth="1" min="9" max="9"/>
    <col width="18" customWidth="1" min="10" max="10"/>
    <col width="16" customWidth="1" min="11" max="11"/>
    <col width="16" customWidth="1" min="12" max="12"/>
  </cols>
  <sheetData>
    <row r="1" ht="32" customHeight="1">
      <c r="A1" s="1" t="inlineStr">
        <is>
          <t>STT</t>
        </is>
      </c>
      <c r="B1" s="1" t="inlineStr">
        <is>
          <t>Mã NV</t>
        </is>
      </c>
      <c r="C1" s="1" t="inlineStr">
        <is>
          <t>Họ và tên</t>
        </is>
      </c>
      <c r="D1" s="1" t="inlineStr">
        <is>
          <t>Bộ phận</t>
        </is>
      </c>
      <c r="E1" s="1" t="inlineStr">
        <is>
          <t>Công chuẩn</t>
        </is>
      </c>
      <c r="F1" s="1" t="inlineStr">
        <is>
          <t>Ngày công thực tế</t>
        </is>
      </c>
      <c r="G1" s="1" t="inlineStr">
        <is>
          <t>Nghỉ phép</t>
        </is>
      </c>
      <c r="H1" s="1" t="inlineStr">
        <is>
          <t>Nghỉ không lương</t>
        </is>
      </c>
      <c r="I1" s="1" t="inlineStr">
        <is>
          <t>Giờ tăng ca</t>
        </is>
      </c>
      <c r="J1" s="1" t="inlineStr">
        <is>
          <t>Tổng công hưởng lương</t>
        </is>
      </c>
      <c r="K1" s="1" t="inlineStr">
        <is>
          <t>Tỷ lệ chuyên cần</t>
        </is>
      </c>
      <c r="L1" s="1" t="inlineStr">
        <is>
          <t>Xếp loại</t>
        </is>
      </c>
    </row>
    <row r="2">
      <c r="A2" s="2" t="n">
        <v>1</v>
      </c>
      <c r="B2" s="3" t="inlineStr">
        <is>
          <t>NV001</t>
        </is>
      </c>
      <c r="C2" s="8">
        <f>IFERROR(INDEX('Danh sách NV'!$C$2:$C$500,MATCH(B2,'Danh sách NV'!$B$2:$B$500,0)),"")</f>
        <v/>
      </c>
      <c r="D2" s="8">
        <f>IFERROR(INDEX('Danh sách NV'!$D$2:$D$500,MATCH(B2,'Danh sách NV'!$B$2:$B$500,0)),"")</f>
        <v/>
      </c>
      <c r="E2" s="2" t="n">
        <v>26</v>
      </c>
      <c r="F2" s="2" t="n">
        <v>24</v>
      </c>
      <c r="G2" s="6">
        <f>IF(B2="","",SUMIF('Nghỉ phép'!$B$2:$B$500,B2,'Nghỉ phép'!$K$2:$K$500))</f>
        <v/>
      </c>
      <c r="H2" s="6">
        <f>IF(B2="","",SUMIF('Nghỉ phép'!$B$2:$B$500,B2,'Nghỉ phép'!$L$2:$L$500))</f>
        <v/>
      </c>
      <c r="I2" s="2" t="n">
        <v>8</v>
      </c>
      <c r="J2" s="6">
        <f>IF(C2="","",F2+G2)</f>
        <v/>
      </c>
      <c r="K2" s="9">
        <f>IF(C2="","",IFERROR(J2/E2,0))</f>
        <v/>
      </c>
      <c r="L2" s="6">
        <f>IF(C2="","",IF(K2&gt;=1,"Đủ công",IF(K2&gt;=0.9,"Khá","Cần xem lại")))</f>
        <v/>
      </c>
    </row>
    <row r="3">
      <c r="A3" s="2" t="n">
        <v>2</v>
      </c>
      <c r="B3" s="3" t="inlineStr">
        <is>
          <t>NV002</t>
        </is>
      </c>
      <c r="C3" s="8">
        <f>IFERROR(INDEX('Danh sách NV'!$C$2:$C$500,MATCH(B3,'Danh sách NV'!$B$2:$B$500,0)),"")</f>
        <v/>
      </c>
      <c r="D3" s="8">
        <f>IFERROR(INDEX('Danh sách NV'!$D$2:$D$500,MATCH(B3,'Danh sách NV'!$B$2:$B$500,0)),"")</f>
        <v/>
      </c>
      <c r="E3" s="2" t="n">
        <v>26</v>
      </c>
      <c r="F3" s="2" t="n">
        <v>26</v>
      </c>
      <c r="G3" s="6">
        <f>IF(B3="","",SUMIF('Nghỉ phép'!$B$2:$B$500,B3,'Nghỉ phép'!$K$2:$K$500))</f>
        <v/>
      </c>
      <c r="H3" s="6">
        <f>IF(B3="","",SUMIF('Nghỉ phép'!$B$2:$B$500,B3,'Nghỉ phép'!$L$2:$L$500))</f>
        <v/>
      </c>
      <c r="I3" s="2" t="n">
        <v>12</v>
      </c>
      <c r="J3" s="6">
        <f>IF(C3="","",F3+G3)</f>
        <v/>
      </c>
      <c r="K3" s="9">
        <f>IF(C3="","",IFERROR(J3/E3,0))</f>
        <v/>
      </c>
      <c r="L3" s="6">
        <f>IF(C3="","",IF(K3&gt;=1,"Đủ công",IF(K3&gt;=0.9,"Khá","Cần xem lại")))</f>
        <v/>
      </c>
    </row>
    <row r="4">
      <c r="A4" s="2" t="n">
        <v>3</v>
      </c>
      <c r="B4" s="3" t="inlineStr">
        <is>
          <t>NV003</t>
        </is>
      </c>
      <c r="C4" s="8">
        <f>IFERROR(INDEX('Danh sách NV'!$C$2:$C$500,MATCH(B4,'Danh sách NV'!$B$2:$B$500,0)),"")</f>
        <v/>
      </c>
      <c r="D4" s="8">
        <f>IFERROR(INDEX('Danh sách NV'!$D$2:$D$500,MATCH(B4,'Danh sách NV'!$B$2:$B$500,0)),"")</f>
        <v/>
      </c>
      <c r="E4" s="2" t="n">
        <v>26</v>
      </c>
      <c r="F4" s="2" t="n">
        <v>21</v>
      </c>
      <c r="G4" s="6">
        <f>IF(B4="","",SUMIF('Nghỉ phép'!$B$2:$B$500,B4,'Nghỉ phép'!$K$2:$K$500))</f>
        <v/>
      </c>
      <c r="H4" s="6">
        <f>IF(B4="","",SUMIF('Nghỉ phép'!$B$2:$B$500,B4,'Nghỉ phép'!$L$2:$L$500))</f>
        <v/>
      </c>
      <c r="I4" s="2" t="n">
        <v>0</v>
      </c>
      <c r="J4" s="6">
        <f>IF(C4="","",F4+G4)</f>
        <v/>
      </c>
      <c r="K4" s="9">
        <f>IF(C4="","",IFERROR(J4/E4,0))</f>
        <v/>
      </c>
      <c r="L4" s="6">
        <f>IF(C4="","",IF(K4&gt;=1,"Đủ công",IF(K4&gt;=0.9,"Khá","Cần xem lại")))</f>
        <v/>
      </c>
    </row>
    <row r="5">
      <c r="A5" s="2" t="n">
        <v>4</v>
      </c>
      <c r="B5" s="3" t="inlineStr">
        <is>
          <t>NV004</t>
        </is>
      </c>
      <c r="C5" s="8">
        <f>IFERROR(INDEX('Danh sách NV'!$C$2:$C$500,MATCH(B5,'Danh sách NV'!$B$2:$B$500,0)),"")</f>
        <v/>
      </c>
      <c r="D5" s="8">
        <f>IFERROR(INDEX('Danh sách NV'!$D$2:$D$500,MATCH(B5,'Danh sách NV'!$B$2:$B$500,0)),"")</f>
        <v/>
      </c>
      <c r="E5" s="2" t="n">
        <v>26</v>
      </c>
      <c r="F5" s="2" t="n">
        <v>25</v>
      </c>
      <c r="G5" s="6">
        <f>IF(B5="","",SUMIF('Nghỉ phép'!$B$2:$B$500,B5,'Nghỉ phép'!$K$2:$K$500))</f>
        <v/>
      </c>
      <c r="H5" s="6">
        <f>IF(B5="","",SUMIF('Nghỉ phép'!$B$2:$B$500,B5,'Nghỉ phép'!$L$2:$L$500))</f>
        <v/>
      </c>
      <c r="I5" s="2" t="n">
        <v>16</v>
      </c>
      <c r="J5" s="6">
        <f>IF(C5="","",F5+G5)</f>
        <v/>
      </c>
      <c r="K5" s="9">
        <f>IF(C5="","",IFERROR(J5/E5,0))</f>
        <v/>
      </c>
      <c r="L5" s="6">
        <f>IF(C5="","",IF(K5&gt;=1,"Đủ công",IF(K5&gt;=0.9,"Khá","Cần xem lại")))</f>
        <v/>
      </c>
    </row>
    <row r="6">
      <c r="A6" s="2" t="n"/>
      <c r="B6" s="3" t="n"/>
      <c r="C6" s="8">
        <f>IFERROR(INDEX('Danh sách NV'!$C$2:$C$500,MATCH(B6,'Danh sách NV'!$B$2:$B$500,0)),"")</f>
        <v/>
      </c>
      <c r="D6" s="8">
        <f>IFERROR(INDEX('Danh sách NV'!$D$2:$D$500,MATCH(B6,'Danh sách NV'!$B$2:$B$500,0)),"")</f>
        <v/>
      </c>
      <c r="E6" s="2" t="n"/>
      <c r="F6" s="2" t="n"/>
      <c r="G6" s="6">
        <f>IF(B6="","",SUMIF('Nghỉ phép'!$B$2:$B$500,B6,'Nghỉ phép'!$K$2:$K$500))</f>
        <v/>
      </c>
      <c r="H6" s="6">
        <f>IF(B6="","",SUMIF('Nghỉ phép'!$B$2:$B$500,B6,'Nghỉ phép'!$L$2:$L$500))</f>
        <v/>
      </c>
      <c r="I6" s="2" t="n"/>
      <c r="J6" s="6">
        <f>IF(C6="","",F6+G6)</f>
        <v/>
      </c>
      <c r="K6" s="9">
        <f>IF(C6="","",IFERROR(J6/E6,0))</f>
        <v/>
      </c>
      <c r="L6" s="6">
        <f>IF(C6="","",IF(K6&gt;=1,"Đủ công",IF(K6&gt;=0.9,"Khá","Cần xem lại")))</f>
        <v/>
      </c>
    </row>
    <row r="7">
      <c r="A7" s="2" t="n"/>
      <c r="B7" s="3" t="n"/>
      <c r="C7" s="8">
        <f>IFERROR(INDEX('Danh sách NV'!$C$2:$C$500,MATCH(B7,'Danh sách NV'!$B$2:$B$500,0)),"")</f>
        <v/>
      </c>
      <c r="D7" s="8">
        <f>IFERROR(INDEX('Danh sách NV'!$D$2:$D$500,MATCH(B7,'Danh sách NV'!$B$2:$B$500,0)),"")</f>
        <v/>
      </c>
      <c r="E7" s="2" t="n"/>
      <c r="F7" s="2" t="n"/>
      <c r="G7" s="6">
        <f>IF(B7="","",SUMIF('Nghỉ phép'!$B$2:$B$500,B7,'Nghỉ phép'!$K$2:$K$500))</f>
        <v/>
      </c>
      <c r="H7" s="6">
        <f>IF(B7="","",SUMIF('Nghỉ phép'!$B$2:$B$500,B7,'Nghỉ phép'!$L$2:$L$500))</f>
        <v/>
      </c>
      <c r="I7" s="2" t="n"/>
      <c r="J7" s="6">
        <f>IF(C7="","",F7+G7)</f>
        <v/>
      </c>
      <c r="K7" s="9">
        <f>IF(C7="","",IFERROR(J7/E7,0))</f>
        <v/>
      </c>
      <c r="L7" s="6">
        <f>IF(C7="","",IF(K7&gt;=1,"Đủ công",IF(K7&gt;=0.9,"Khá","Cần xem lại")))</f>
        <v/>
      </c>
    </row>
    <row r="8">
      <c r="A8" s="2" t="n"/>
      <c r="B8" s="3" t="n"/>
      <c r="C8" s="8">
        <f>IFERROR(INDEX('Danh sách NV'!$C$2:$C$500,MATCH(B8,'Danh sách NV'!$B$2:$B$500,0)),"")</f>
        <v/>
      </c>
      <c r="D8" s="8">
        <f>IFERROR(INDEX('Danh sách NV'!$D$2:$D$500,MATCH(B8,'Danh sách NV'!$B$2:$B$500,0)),"")</f>
        <v/>
      </c>
      <c r="E8" s="2" t="n"/>
      <c r="F8" s="2" t="n"/>
      <c r="G8" s="6">
        <f>IF(B8="","",SUMIF('Nghỉ phép'!$B$2:$B$500,B8,'Nghỉ phép'!$K$2:$K$500))</f>
        <v/>
      </c>
      <c r="H8" s="6">
        <f>IF(B8="","",SUMIF('Nghỉ phép'!$B$2:$B$500,B8,'Nghỉ phép'!$L$2:$L$500))</f>
        <v/>
      </c>
      <c r="I8" s="2" t="n"/>
      <c r="J8" s="6">
        <f>IF(C8="","",F8+G8)</f>
        <v/>
      </c>
      <c r="K8" s="9">
        <f>IF(C8="","",IFERROR(J8/E8,0))</f>
        <v/>
      </c>
      <c r="L8" s="6">
        <f>IF(C8="","",IF(K8&gt;=1,"Đủ công",IF(K8&gt;=0.9,"Khá","Cần xem lại")))</f>
        <v/>
      </c>
    </row>
    <row r="9">
      <c r="A9" s="2" t="n"/>
      <c r="B9" s="3" t="n"/>
      <c r="C9" s="8">
        <f>IFERROR(INDEX('Danh sách NV'!$C$2:$C$500,MATCH(B9,'Danh sách NV'!$B$2:$B$500,0)),"")</f>
        <v/>
      </c>
      <c r="D9" s="8">
        <f>IFERROR(INDEX('Danh sách NV'!$D$2:$D$500,MATCH(B9,'Danh sách NV'!$B$2:$B$500,0)),"")</f>
        <v/>
      </c>
      <c r="E9" s="2" t="n"/>
      <c r="F9" s="2" t="n"/>
      <c r="G9" s="6">
        <f>IF(B9="","",SUMIF('Nghỉ phép'!$B$2:$B$500,B9,'Nghỉ phép'!$K$2:$K$500))</f>
        <v/>
      </c>
      <c r="H9" s="6">
        <f>IF(B9="","",SUMIF('Nghỉ phép'!$B$2:$B$500,B9,'Nghỉ phép'!$L$2:$L$500))</f>
        <v/>
      </c>
      <c r="I9" s="2" t="n"/>
      <c r="J9" s="6">
        <f>IF(C9="","",F9+G9)</f>
        <v/>
      </c>
      <c r="K9" s="9">
        <f>IF(C9="","",IFERROR(J9/E9,0))</f>
        <v/>
      </c>
      <c r="L9" s="6">
        <f>IF(C9="","",IF(K9&gt;=1,"Đủ công",IF(K9&gt;=0.9,"Khá","Cần xem lại")))</f>
        <v/>
      </c>
    </row>
    <row r="10">
      <c r="A10" s="2" t="n"/>
      <c r="B10" s="3" t="n"/>
      <c r="C10" s="8">
        <f>IFERROR(INDEX('Danh sách NV'!$C$2:$C$500,MATCH(B10,'Danh sách NV'!$B$2:$B$500,0)),"")</f>
        <v/>
      </c>
      <c r="D10" s="8">
        <f>IFERROR(INDEX('Danh sách NV'!$D$2:$D$500,MATCH(B10,'Danh sách NV'!$B$2:$B$500,0)),"")</f>
        <v/>
      </c>
      <c r="E10" s="2" t="n"/>
      <c r="F10" s="2" t="n"/>
      <c r="G10" s="6">
        <f>IF(B10="","",SUMIF('Nghỉ phép'!$B$2:$B$500,B10,'Nghỉ phép'!$K$2:$K$500))</f>
        <v/>
      </c>
      <c r="H10" s="6">
        <f>IF(B10="","",SUMIF('Nghỉ phép'!$B$2:$B$500,B10,'Nghỉ phép'!$L$2:$L$500))</f>
        <v/>
      </c>
      <c r="I10" s="2" t="n"/>
      <c r="J10" s="6">
        <f>IF(C10="","",F10+G10)</f>
        <v/>
      </c>
      <c r="K10" s="9">
        <f>IF(C10="","",IFERROR(J10/E10,0))</f>
        <v/>
      </c>
      <c r="L10" s="6">
        <f>IF(C10="","",IF(K10&gt;=1,"Đủ công",IF(K10&gt;=0.9,"Khá","Cần xem lại")))</f>
        <v/>
      </c>
    </row>
    <row r="11">
      <c r="A11" s="2" t="n"/>
      <c r="B11" s="3" t="n"/>
      <c r="C11" s="8">
        <f>IFERROR(INDEX('Danh sách NV'!$C$2:$C$500,MATCH(B11,'Danh sách NV'!$B$2:$B$500,0)),"")</f>
        <v/>
      </c>
      <c r="D11" s="8">
        <f>IFERROR(INDEX('Danh sách NV'!$D$2:$D$500,MATCH(B11,'Danh sách NV'!$B$2:$B$500,0)),"")</f>
        <v/>
      </c>
      <c r="E11" s="2" t="n"/>
      <c r="F11" s="2" t="n"/>
      <c r="G11" s="6">
        <f>IF(B11="","",SUMIF('Nghỉ phép'!$B$2:$B$500,B11,'Nghỉ phép'!$K$2:$K$500))</f>
        <v/>
      </c>
      <c r="H11" s="6">
        <f>IF(B11="","",SUMIF('Nghỉ phép'!$B$2:$B$500,B11,'Nghỉ phép'!$L$2:$L$500))</f>
        <v/>
      </c>
      <c r="I11" s="2" t="n"/>
      <c r="J11" s="6">
        <f>IF(C11="","",F11+G11)</f>
        <v/>
      </c>
      <c r="K11" s="9">
        <f>IF(C11="","",IFERROR(J11/E11,0))</f>
        <v/>
      </c>
      <c r="L11" s="6">
        <f>IF(C11="","",IF(K11&gt;=1,"Đủ công",IF(K11&gt;=0.9,"Khá","Cần xem lại")))</f>
        <v/>
      </c>
    </row>
    <row r="12">
      <c r="A12" s="2" t="n"/>
      <c r="B12" s="3" t="n"/>
      <c r="C12" s="8">
        <f>IFERROR(INDEX('Danh sách NV'!$C$2:$C$500,MATCH(B12,'Danh sách NV'!$B$2:$B$500,0)),"")</f>
        <v/>
      </c>
      <c r="D12" s="8">
        <f>IFERROR(INDEX('Danh sách NV'!$D$2:$D$500,MATCH(B12,'Danh sách NV'!$B$2:$B$500,0)),"")</f>
        <v/>
      </c>
      <c r="E12" s="2" t="n"/>
      <c r="F12" s="2" t="n"/>
      <c r="G12" s="6">
        <f>IF(B12="","",SUMIF('Nghỉ phép'!$B$2:$B$500,B12,'Nghỉ phép'!$K$2:$K$500))</f>
        <v/>
      </c>
      <c r="H12" s="6">
        <f>IF(B12="","",SUMIF('Nghỉ phép'!$B$2:$B$500,B12,'Nghỉ phép'!$L$2:$L$500))</f>
        <v/>
      </c>
      <c r="I12" s="2" t="n"/>
      <c r="J12" s="6">
        <f>IF(C12="","",F12+G12)</f>
        <v/>
      </c>
      <c r="K12" s="9">
        <f>IF(C12="","",IFERROR(J12/E12,0))</f>
        <v/>
      </c>
      <c r="L12" s="6">
        <f>IF(C12="","",IF(K12&gt;=1,"Đủ công",IF(K12&gt;=0.9,"Khá","Cần xem lại")))</f>
        <v/>
      </c>
    </row>
    <row r="13">
      <c r="A13" s="2" t="n"/>
      <c r="B13" s="3" t="n"/>
      <c r="C13" s="8">
        <f>IFERROR(INDEX('Danh sách NV'!$C$2:$C$500,MATCH(B13,'Danh sách NV'!$B$2:$B$500,0)),"")</f>
        <v/>
      </c>
      <c r="D13" s="8">
        <f>IFERROR(INDEX('Danh sách NV'!$D$2:$D$500,MATCH(B13,'Danh sách NV'!$B$2:$B$500,0)),"")</f>
        <v/>
      </c>
      <c r="E13" s="2" t="n"/>
      <c r="F13" s="2" t="n"/>
      <c r="G13" s="6">
        <f>IF(B13="","",SUMIF('Nghỉ phép'!$B$2:$B$500,B13,'Nghỉ phép'!$K$2:$K$500))</f>
        <v/>
      </c>
      <c r="H13" s="6">
        <f>IF(B13="","",SUMIF('Nghỉ phép'!$B$2:$B$500,B13,'Nghỉ phép'!$L$2:$L$500))</f>
        <v/>
      </c>
      <c r="I13" s="2" t="n"/>
      <c r="J13" s="6">
        <f>IF(C13="","",F13+G13)</f>
        <v/>
      </c>
      <c r="K13" s="9">
        <f>IF(C13="","",IFERROR(J13/E13,0))</f>
        <v/>
      </c>
      <c r="L13" s="6">
        <f>IF(C13="","",IF(K13&gt;=1,"Đủ công",IF(K13&gt;=0.9,"Khá","Cần xem lại")))</f>
        <v/>
      </c>
    </row>
    <row r="14">
      <c r="A14" s="2" t="n"/>
      <c r="B14" s="3" t="n"/>
      <c r="C14" s="8">
        <f>IFERROR(INDEX('Danh sách NV'!$C$2:$C$500,MATCH(B14,'Danh sách NV'!$B$2:$B$500,0)),"")</f>
        <v/>
      </c>
      <c r="D14" s="8">
        <f>IFERROR(INDEX('Danh sách NV'!$D$2:$D$500,MATCH(B14,'Danh sách NV'!$B$2:$B$500,0)),"")</f>
        <v/>
      </c>
      <c r="E14" s="2" t="n"/>
      <c r="F14" s="2" t="n"/>
      <c r="G14" s="6">
        <f>IF(B14="","",SUMIF('Nghỉ phép'!$B$2:$B$500,B14,'Nghỉ phép'!$K$2:$K$500))</f>
        <v/>
      </c>
      <c r="H14" s="6">
        <f>IF(B14="","",SUMIF('Nghỉ phép'!$B$2:$B$500,B14,'Nghỉ phép'!$L$2:$L$500))</f>
        <v/>
      </c>
      <c r="I14" s="2" t="n"/>
      <c r="J14" s="6">
        <f>IF(C14="","",F14+G14)</f>
        <v/>
      </c>
      <c r="K14" s="9">
        <f>IF(C14="","",IFERROR(J14/E14,0))</f>
        <v/>
      </c>
      <c r="L14" s="6">
        <f>IF(C14="","",IF(K14&gt;=1,"Đủ công",IF(K14&gt;=0.9,"Khá","Cần xem lại")))</f>
        <v/>
      </c>
    </row>
    <row r="15">
      <c r="A15" s="2" t="n"/>
      <c r="B15" s="3" t="n"/>
      <c r="C15" s="8">
        <f>IFERROR(INDEX('Danh sách NV'!$C$2:$C$500,MATCH(B15,'Danh sách NV'!$B$2:$B$500,0)),"")</f>
        <v/>
      </c>
      <c r="D15" s="8">
        <f>IFERROR(INDEX('Danh sách NV'!$D$2:$D$500,MATCH(B15,'Danh sách NV'!$B$2:$B$500,0)),"")</f>
        <v/>
      </c>
      <c r="E15" s="2" t="n"/>
      <c r="F15" s="2" t="n"/>
      <c r="G15" s="6">
        <f>IF(B15="","",SUMIF('Nghỉ phép'!$B$2:$B$500,B15,'Nghỉ phép'!$K$2:$K$500))</f>
        <v/>
      </c>
      <c r="H15" s="6">
        <f>IF(B15="","",SUMIF('Nghỉ phép'!$B$2:$B$500,B15,'Nghỉ phép'!$L$2:$L$500))</f>
        <v/>
      </c>
      <c r="I15" s="2" t="n"/>
      <c r="J15" s="6">
        <f>IF(C15="","",F15+G15)</f>
        <v/>
      </c>
      <c r="K15" s="9">
        <f>IF(C15="","",IFERROR(J15/E15,0))</f>
        <v/>
      </c>
      <c r="L15" s="6">
        <f>IF(C15="","",IF(K15&gt;=1,"Đủ công",IF(K15&gt;=0.9,"Khá","Cần xem lại")))</f>
        <v/>
      </c>
    </row>
    <row r="16">
      <c r="A16" s="2" t="n"/>
      <c r="B16" s="3" t="n"/>
      <c r="C16" s="8">
        <f>IFERROR(INDEX('Danh sách NV'!$C$2:$C$500,MATCH(B16,'Danh sách NV'!$B$2:$B$500,0)),"")</f>
        <v/>
      </c>
      <c r="D16" s="8">
        <f>IFERROR(INDEX('Danh sách NV'!$D$2:$D$500,MATCH(B16,'Danh sách NV'!$B$2:$B$500,0)),"")</f>
        <v/>
      </c>
      <c r="E16" s="2" t="n"/>
      <c r="F16" s="2" t="n"/>
      <c r="G16" s="6">
        <f>IF(B16="","",SUMIF('Nghỉ phép'!$B$2:$B$500,B16,'Nghỉ phép'!$K$2:$K$500))</f>
        <v/>
      </c>
      <c r="H16" s="6">
        <f>IF(B16="","",SUMIF('Nghỉ phép'!$B$2:$B$500,B16,'Nghỉ phép'!$L$2:$L$500))</f>
        <v/>
      </c>
      <c r="I16" s="2" t="n"/>
      <c r="J16" s="6">
        <f>IF(C16="","",F16+G16)</f>
        <v/>
      </c>
      <c r="K16" s="9">
        <f>IF(C16="","",IFERROR(J16/E16,0))</f>
        <v/>
      </c>
      <c r="L16" s="6">
        <f>IF(C16="","",IF(K16&gt;=1,"Đủ công",IF(K16&gt;=0.9,"Khá","Cần xem lại")))</f>
        <v/>
      </c>
    </row>
    <row r="17">
      <c r="A17" s="2" t="n"/>
      <c r="B17" s="3" t="n"/>
      <c r="C17" s="8">
        <f>IFERROR(INDEX('Danh sách NV'!$C$2:$C$500,MATCH(B17,'Danh sách NV'!$B$2:$B$500,0)),"")</f>
        <v/>
      </c>
      <c r="D17" s="8">
        <f>IFERROR(INDEX('Danh sách NV'!$D$2:$D$500,MATCH(B17,'Danh sách NV'!$B$2:$B$500,0)),"")</f>
        <v/>
      </c>
      <c r="E17" s="2" t="n"/>
      <c r="F17" s="2" t="n"/>
      <c r="G17" s="6">
        <f>IF(B17="","",SUMIF('Nghỉ phép'!$B$2:$B$500,B17,'Nghỉ phép'!$K$2:$K$500))</f>
        <v/>
      </c>
      <c r="H17" s="6">
        <f>IF(B17="","",SUMIF('Nghỉ phép'!$B$2:$B$500,B17,'Nghỉ phép'!$L$2:$L$500))</f>
        <v/>
      </c>
      <c r="I17" s="2" t="n"/>
      <c r="J17" s="6">
        <f>IF(C17="","",F17+G17)</f>
        <v/>
      </c>
      <c r="K17" s="9">
        <f>IF(C17="","",IFERROR(J17/E17,0))</f>
        <v/>
      </c>
      <c r="L17" s="6">
        <f>IF(C17="","",IF(K17&gt;=1,"Đủ công",IF(K17&gt;=0.9,"Khá","Cần xem lại")))</f>
        <v/>
      </c>
    </row>
    <row r="18">
      <c r="A18" s="2" t="n"/>
      <c r="B18" s="3" t="n"/>
      <c r="C18" s="8">
        <f>IFERROR(INDEX('Danh sách NV'!$C$2:$C$500,MATCH(B18,'Danh sách NV'!$B$2:$B$500,0)),"")</f>
        <v/>
      </c>
      <c r="D18" s="8">
        <f>IFERROR(INDEX('Danh sách NV'!$D$2:$D$500,MATCH(B18,'Danh sách NV'!$B$2:$B$500,0)),"")</f>
        <v/>
      </c>
      <c r="E18" s="2" t="n"/>
      <c r="F18" s="2" t="n"/>
      <c r="G18" s="6">
        <f>IF(B18="","",SUMIF('Nghỉ phép'!$B$2:$B$500,B18,'Nghỉ phép'!$K$2:$K$500))</f>
        <v/>
      </c>
      <c r="H18" s="6">
        <f>IF(B18="","",SUMIF('Nghỉ phép'!$B$2:$B$500,B18,'Nghỉ phép'!$L$2:$L$500))</f>
        <v/>
      </c>
      <c r="I18" s="2" t="n"/>
      <c r="J18" s="6">
        <f>IF(C18="","",F18+G18)</f>
        <v/>
      </c>
      <c r="K18" s="9">
        <f>IF(C18="","",IFERROR(J18/E18,0))</f>
        <v/>
      </c>
      <c r="L18" s="6">
        <f>IF(C18="","",IF(K18&gt;=1,"Đủ công",IF(K18&gt;=0.9,"Khá","Cần xem lại")))</f>
        <v/>
      </c>
    </row>
    <row r="19">
      <c r="A19" s="2" t="n"/>
      <c r="B19" s="3" t="n"/>
      <c r="C19" s="8">
        <f>IFERROR(INDEX('Danh sách NV'!$C$2:$C$500,MATCH(B19,'Danh sách NV'!$B$2:$B$500,0)),"")</f>
        <v/>
      </c>
      <c r="D19" s="8">
        <f>IFERROR(INDEX('Danh sách NV'!$D$2:$D$500,MATCH(B19,'Danh sách NV'!$B$2:$B$500,0)),"")</f>
        <v/>
      </c>
      <c r="E19" s="2" t="n"/>
      <c r="F19" s="2" t="n"/>
      <c r="G19" s="6">
        <f>IF(B19="","",SUMIF('Nghỉ phép'!$B$2:$B$500,B19,'Nghỉ phép'!$K$2:$K$500))</f>
        <v/>
      </c>
      <c r="H19" s="6">
        <f>IF(B19="","",SUMIF('Nghỉ phép'!$B$2:$B$500,B19,'Nghỉ phép'!$L$2:$L$500))</f>
        <v/>
      </c>
      <c r="I19" s="2" t="n"/>
      <c r="J19" s="6">
        <f>IF(C19="","",F19+G19)</f>
        <v/>
      </c>
      <c r="K19" s="9">
        <f>IF(C19="","",IFERROR(J19/E19,0))</f>
        <v/>
      </c>
      <c r="L19" s="6">
        <f>IF(C19="","",IF(K19&gt;=1,"Đủ công",IF(K19&gt;=0.9,"Khá","Cần xem lại")))</f>
        <v/>
      </c>
    </row>
    <row r="20">
      <c r="A20" s="2" t="n"/>
      <c r="B20" s="3" t="n"/>
      <c r="C20" s="8">
        <f>IFERROR(INDEX('Danh sách NV'!$C$2:$C$500,MATCH(B20,'Danh sách NV'!$B$2:$B$500,0)),"")</f>
        <v/>
      </c>
      <c r="D20" s="8">
        <f>IFERROR(INDEX('Danh sách NV'!$D$2:$D$500,MATCH(B20,'Danh sách NV'!$B$2:$B$500,0)),"")</f>
        <v/>
      </c>
      <c r="E20" s="2" t="n"/>
      <c r="F20" s="2" t="n"/>
      <c r="G20" s="6">
        <f>IF(B20="","",SUMIF('Nghỉ phép'!$B$2:$B$500,B20,'Nghỉ phép'!$K$2:$K$500))</f>
        <v/>
      </c>
      <c r="H20" s="6">
        <f>IF(B20="","",SUMIF('Nghỉ phép'!$B$2:$B$500,B20,'Nghỉ phép'!$L$2:$L$500))</f>
        <v/>
      </c>
      <c r="I20" s="2" t="n"/>
      <c r="J20" s="6">
        <f>IF(C20="","",F20+G20)</f>
        <v/>
      </c>
      <c r="K20" s="9">
        <f>IF(C20="","",IFERROR(J20/E20,0))</f>
        <v/>
      </c>
      <c r="L20" s="6">
        <f>IF(C20="","",IF(K20&gt;=1,"Đủ công",IF(K20&gt;=0.9,"Khá","Cần xem lại")))</f>
        <v/>
      </c>
    </row>
    <row r="21">
      <c r="A21" s="2" t="n"/>
      <c r="B21" s="3" t="n"/>
      <c r="C21" s="8">
        <f>IFERROR(INDEX('Danh sách NV'!$C$2:$C$500,MATCH(B21,'Danh sách NV'!$B$2:$B$500,0)),"")</f>
        <v/>
      </c>
      <c r="D21" s="8">
        <f>IFERROR(INDEX('Danh sách NV'!$D$2:$D$500,MATCH(B21,'Danh sách NV'!$B$2:$B$500,0)),"")</f>
        <v/>
      </c>
      <c r="E21" s="2" t="n"/>
      <c r="F21" s="2" t="n"/>
      <c r="G21" s="6">
        <f>IF(B21="","",SUMIF('Nghỉ phép'!$B$2:$B$500,B21,'Nghỉ phép'!$K$2:$K$500))</f>
        <v/>
      </c>
      <c r="H21" s="6">
        <f>IF(B21="","",SUMIF('Nghỉ phép'!$B$2:$B$500,B21,'Nghỉ phép'!$L$2:$L$500))</f>
        <v/>
      </c>
      <c r="I21" s="2" t="n"/>
      <c r="J21" s="6">
        <f>IF(C21="","",F21+G21)</f>
        <v/>
      </c>
      <c r="K21" s="9">
        <f>IF(C21="","",IFERROR(J21/E21,0))</f>
        <v/>
      </c>
      <c r="L21" s="6">
        <f>IF(C21="","",IF(K21&gt;=1,"Đủ công",IF(K21&gt;=0.9,"Khá","Cần xem lại")))</f>
        <v/>
      </c>
    </row>
    <row r="22">
      <c r="A22" s="2" t="n"/>
      <c r="B22" s="3" t="n"/>
      <c r="C22" s="8">
        <f>IFERROR(INDEX('Danh sách NV'!$C$2:$C$500,MATCH(B22,'Danh sách NV'!$B$2:$B$500,0)),"")</f>
        <v/>
      </c>
      <c r="D22" s="8">
        <f>IFERROR(INDEX('Danh sách NV'!$D$2:$D$500,MATCH(B22,'Danh sách NV'!$B$2:$B$500,0)),"")</f>
        <v/>
      </c>
      <c r="E22" s="2" t="n"/>
      <c r="F22" s="2" t="n"/>
      <c r="G22" s="6">
        <f>IF(B22="","",SUMIF('Nghỉ phép'!$B$2:$B$500,B22,'Nghỉ phép'!$K$2:$K$500))</f>
        <v/>
      </c>
      <c r="H22" s="6">
        <f>IF(B22="","",SUMIF('Nghỉ phép'!$B$2:$B$500,B22,'Nghỉ phép'!$L$2:$L$500))</f>
        <v/>
      </c>
      <c r="I22" s="2" t="n"/>
      <c r="J22" s="6">
        <f>IF(C22="","",F22+G22)</f>
        <v/>
      </c>
      <c r="K22" s="9">
        <f>IF(C22="","",IFERROR(J22/E22,0))</f>
        <v/>
      </c>
      <c r="L22" s="6">
        <f>IF(C22="","",IF(K22&gt;=1,"Đủ công",IF(K22&gt;=0.9,"Khá","Cần xem lại")))</f>
        <v/>
      </c>
    </row>
    <row r="23">
      <c r="A23" s="2" t="n"/>
      <c r="B23" s="3" t="n"/>
      <c r="C23" s="8">
        <f>IFERROR(INDEX('Danh sách NV'!$C$2:$C$500,MATCH(B23,'Danh sách NV'!$B$2:$B$500,0)),"")</f>
        <v/>
      </c>
      <c r="D23" s="8">
        <f>IFERROR(INDEX('Danh sách NV'!$D$2:$D$500,MATCH(B23,'Danh sách NV'!$B$2:$B$500,0)),"")</f>
        <v/>
      </c>
      <c r="E23" s="2" t="n"/>
      <c r="F23" s="2" t="n"/>
      <c r="G23" s="6">
        <f>IF(B23="","",SUMIF('Nghỉ phép'!$B$2:$B$500,B23,'Nghỉ phép'!$K$2:$K$500))</f>
        <v/>
      </c>
      <c r="H23" s="6">
        <f>IF(B23="","",SUMIF('Nghỉ phép'!$B$2:$B$500,B23,'Nghỉ phép'!$L$2:$L$500))</f>
        <v/>
      </c>
      <c r="I23" s="2" t="n"/>
      <c r="J23" s="6">
        <f>IF(C23="","",F23+G23)</f>
        <v/>
      </c>
      <c r="K23" s="9">
        <f>IF(C23="","",IFERROR(J23/E23,0))</f>
        <v/>
      </c>
      <c r="L23" s="6">
        <f>IF(C23="","",IF(K23&gt;=1,"Đủ công",IF(K23&gt;=0.9,"Khá","Cần xem lại")))</f>
        <v/>
      </c>
    </row>
    <row r="24">
      <c r="A24" s="2" t="n"/>
      <c r="B24" s="3" t="n"/>
      <c r="C24" s="8">
        <f>IFERROR(INDEX('Danh sách NV'!$C$2:$C$500,MATCH(B24,'Danh sách NV'!$B$2:$B$500,0)),"")</f>
        <v/>
      </c>
      <c r="D24" s="8">
        <f>IFERROR(INDEX('Danh sách NV'!$D$2:$D$500,MATCH(B24,'Danh sách NV'!$B$2:$B$500,0)),"")</f>
        <v/>
      </c>
      <c r="E24" s="2" t="n"/>
      <c r="F24" s="2" t="n"/>
      <c r="G24" s="6">
        <f>IF(B24="","",SUMIF('Nghỉ phép'!$B$2:$B$500,B24,'Nghỉ phép'!$K$2:$K$500))</f>
        <v/>
      </c>
      <c r="H24" s="6">
        <f>IF(B24="","",SUMIF('Nghỉ phép'!$B$2:$B$500,B24,'Nghỉ phép'!$L$2:$L$500))</f>
        <v/>
      </c>
      <c r="I24" s="2" t="n"/>
      <c r="J24" s="6">
        <f>IF(C24="","",F24+G24)</f>
        <v/>
      </c>
      <c r="K24" s="9">
        <f>IF(C24="","",IFERROR(J24/E24,0))</f>
        <v/>
      </c>
      <c r="L24" s="6">
        <f>IF(C24="","",IF(K24&gt;=1,"Đủ công",IF(K24&gt;=0.9,"Khá","Cần xem lại")))</f>
        <v/>
      </c>
    </row>
    <row r="25">
      <c r="A25" s="2" t="n"/>
      <c r="B25" s="3" t="n"/>
      <c r="C25" s="8">
        <f>IFERROR(INDEX('Danh sách NV'!$C$2:$C$500,MATCH(B25,'Danh sách NV'!$B$2:$B$500,0)),"")</f>
        <v/>
      </c>
      <c r="D25" s="8">
        <f>IFERROR(INDEX('Danh sách NV'!$D$2:$D$500,MATCH(B25,'Danh sách NV'!$B$2:$B$500,0)),"")</f>
        <v/>
      </c>
      <c r="E25" s="2" t="n"/>
      <c r="F25" s="2" t="n"/>
      <c r="G25" s="6">
        <f>IF(B25="","",SUMIF('Nghỉ phép'!$B$2:$B$500,B25,'Nghỉ phép'!$K$2:$K$500))</f>
        <v/>
      </c>
      <c r="H25" s="6">
        <f>IF(B25="","",SUMIF('Nghỉ phép'!$B$2:$B$500,B25,'Nghỉ phép'!$L$2:$L$500))</f>
        <v/>
      </c>
      <c r="I25" s="2" t="n"/>
      <c r="J25" s="6">
        <f>IF(C25="","",F25+G25)</f>
        <v/>
      </c>
      <c r="K25" s="9">
        <f>IF(C25="","",IFERROR(J25/E25,0))</f>
        <v/>
      </c>
      <c r="L25" s="6">
        <f>IF(C25="","",IF(K25&gt;=1,"Đủ công",IF(K25&gt;=0.9,"Khá","Cần xem lại")))</f>
        <v/>
      </c>
    </row>
  </sheetData>
  <autoFilter ref="A1:L25"/>
  <dataValidations count="3">
    <dataValidation sqref="E2:E25" showDropDown="0" showInputMessage="0" showErrorMessage="0" allowBlank="1" errorTitle="Sai định dạng" error="Giá trị không hợp lệ cho cột này." type="decimal" operator="between">
      <formula1>0</formula1>
      <formula2>31</formula2>
    </dataValidation>
    <dataValidation sqref="F2:F25" showDropDown="0" showInputMessage="0" showErrorMessage="0" allowBlank="1" errorTitle="Sai định dạng" error="Giá trị không hợp lệ cho cột này." type="decimal" operator="between">
      <formula1>0</formula1>
      <formula2>31</formula2>
    </dataValidation>
    <dataValidation sqref="I2:I25" showDropDown="0" showInputMessage="0" showErrorMessage="0" allowBlank="1" errorTitle="Sai định dạng" error="Giá trị không hợp lệ cho cột này." type="decimal" operator="between">
      <formula1>0</formula1>
      <formula2>200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16" customWidth="1" min="5" max="5"/>
    <col width="14" customWidth="1" min="6" max="6"/>
    <col width="12" customWidth="1" min="7" max="7"/>
    <col width="16" customWidth="1" min="8" max="8"/>
    <col width="16" customWidth="1" min="9" max="9"/>
    <col width="16" customWidth="1" min="10" max="10"/>
    <col width="16" customWidth="1" min="11" max="11"/>
    <col width="16" customWidth="1" min="12" max="12"/>
    <col width="18" customWidth="1" min="13" max="13"/>
    <col width="18" customWidth="1" min="14" max="14"/>
    <col width="16" customWidth="1" min="15" max="15"/>
    <col width="16" customWidth="1" min="16" max="16"/>
  </cols>
  <sheetData>
    <row r="1" ht="32" customHeight="1">
      <c r="A1" s="1" t="inlineStr">
        <is>
          <t>STT</t>
        </is>
      </c>
      <c r="B1" s="1" t="inlineStr">
        <is>
          <t>Mã NV</t>
        </is>
      </c>
      <c r="C1" s="1" t="inlineStr">
        <is>
          <t>Họ và tên</t>
        </is>
      </c>
      <c r="D1" s="1" t="inlineStr">
        <is>
          <t>Bộ phận</t>
        </is>
      </c>
      <c r="E1" s="1" t="inlineStr">
        <is>
          <t>Lương cơ bản</t>
        </is>
      </c>
      <c r="F1" s="1" t="inlineStr">
        <is>
          <t>Phụ cấp</t>
        </is>
      </c>
      <c r="G1" s="1" t="inlineStr">
        <is>
          <t>Công chuẩn</t>
        </is>
      </c>
      <c r="H1" s="1" t="inlineStr">
        <is>
          <t>Công hưởng lương</t>
        </is>
      </c>
      <c r="I1" s="1" t="inlineStr">
        <is>
          <t>Số người phụ thuộc</t>
        </is>
      </c>
      <c r="J1" s="1" t="inlineStr">
        <is>
          <t>Lương theo công</t>
        </is>
      </c>
      <c r="K1" s="1" t="inlineStr">
        <is>
          <t>Tổng thu nhập</t>
        </is>
      </c>
      <c r="L1" s="1" t="inlineStr">
        <is>
          <t>Bảo hiểm (10,5%)</t>
        </is>
      </c>
      <c r="M1" s="1" t="inlineStr">
        <is>
          <t>Giảm trừ gia cảnh</t>
        </is>
      </c>
      <c r="N1" s="1" t="inlineStr">
        <is>
          <t>Thu nhập tính thuế</t>
        </is>
      </c>
      <c r="O1" s="1" t="inlineStr">
        <is>
          <t>Thuế TNCN</t>
        </is>
      </c>
      <c r="P1" s="1" t="inlineStr">
        <is>
          <t>Thực lĩnh</t>
        </is>
      </c>
    </row>
    <row r="2">
      <c r="A2" s="2" t="n">
        <v>1</v>
      </c>
      <c r="B2" s="3" t="inlineStr">
        <is>
          <t>NV001</t>
        </is>
      </c>
      <c r="C2" s="8">
        <f>IFERROR(INDEX('Danh sách NV'!$C$2:$C$500,MATCH(B2,'Danh sách NV'!$B$2:$B$500,0)),"")</f>
        <v/>
      </c>
      <c r="D2" s="8">
        <f>IFERROR(INDEX('Danh sách NV'!$D$2:$D$500,MATCH(B2,'Danh sách NV'!$B$2:$B$500,0)),"")</f>
        <v/>
      </c>
      <c r="E2" s="7">
        <f>IFERROR(INDEX('Danh sách NV'!$H$2:$H$500,MATCH(B2,'Danh sách NV'!$B$2:$B$500,0)),0)</f>
        <v/>
      </c>
      <c r="F2" s="7">
        <f>IFERROR(INDEX('Danh sách NV'!$I$2:$I$500,MATCH(B2,'Danh sách NV'!$B$2:$B$500,0)),0)</f>
        <v/>
      </c>
      <c r="G2" s="6">
        <f>IFERROR(INDEX('Chấm công'!$E$2:$E$500,MATCH(B2,'Chấm công'!$B$2:$B$500,0)),0)</f>
        <v/>
      </c>
      <c r="H2" s="6">
        <f>IF(B2="","",SUMIF('Chấm công'!$B$2:$B$500,B2,'Chấm công'!$J$2:$J$500))</f>
        <v/>
      </c>
      <c r="I2" s="6">
        <f>IFERROR(INDEX('Danh sách NV'!$J$2:$J$500,MATCH(B2,'Danh sách NV'!$B$2:$B$500,0)),0)</f>
        <v/>
      </c>
      <c r="J2" s="7">
        <f>IF(C2="","",IFERROR(ROUND(E2/G2*H2,0),0))</f>
        <v/>
      </c>
      <c r="K2" s="7">
        <f>IF(C2="","",J2+F2)</f>
        <v/>
      </c>
      <c r="L2" s="7">
        <f>IF(C2="","",E2*10.5%)</f>
        <v/>
      </c>
      <c r="M2" s="7">
        <f>IF(C2="","",15500000+I2*6200000)</f>
        <v/>
      </c>
      <c r="N2" s="7">
        <f>IF(C2="","",MAX(0,K2-L2-M2))</f>
        <v/>
      </c>
      <c r="O2" s="7">
        <f>IF(C2="","",IF(N2&lt;=10000000,N2*5%,IF(N2&lt;=30000000,N2*10%-500000,IF(N2&lt;=60000000,N2*20%-3500000,IF(N2&lt;=100000000,N2*30%-9500000,N2*35%-14500000)))))</f>
        <v/>
      </c>
      <c r="P2" s="7">
        <f>IF(C2="","",K2-L2-O2)</f>
        <v/>
      </c>
    </row>
    <row r="3">
      <c r="A3" s="2" t="n">
        <v>2</v>
      </c>
      <c r="B3" s="3" t="inlineStr">
        <is>
          <t>NV002</t>
        </is>
      </c>
      <c r="C3" s="8">
        <f>IFERROR(INDEX('Danh sách NV'!$C$2:$C$500,MATCH(B3,'Danh sách NV'!$B$2:$B$500,0)),"")</f>
        <v/>
      </c>
      <c r="D3" s="8">
        <f>IFERROR(INDEX('Danh sách NV'!$D$2:$D$500,MATCH(B3,'Danh sách NV'!$B$2:$B$500,0)),"")</f>
        <v/>
      </c>
      <c r="E3" s="7">
        <f>IFERROR(INDEX('Danh sách NV'!$H$2:$H$500,MATCH(B3,'Danh sách NV'!$B$2:$B$500,0)),0)</f>
        <v/>
      </c>
      <c r="F3" s="7">
        <f>IFERROR(INDEX('Danh sách NV'!$I$2:$I$500,MATCH(B3,'Danh sách NV'!$B$2:$B$500,0)),0)</f>
        <v/>
      </c>
      <c r="G3" s="6">
        <f>IFERROR(INDEX('Chấm công'!$E$2:$E$500,MATCH(B3,'Chấm công'!$B$2:$B$500,0)),0)</f>
        <v/>
      </c>
      <c r="H3" s="6">
        <f>IF(B3="","",SUMIF('Chấm công'!$B$2:$B$500,B3,'Chấm công'!$J$2:$J$500))</f>
        <v/>
      </c>
      <c r="I3" s="6">
        <f>IFERROR(INDEX('Danh sách NV'!$J$2:$J$500,MATCH(B3,'Danh sách NV'!$B$2:$B$500,0)),0)</f>
        <v/>
      </c>
      <c r="J3" s="7">
        <f>IF(C3="","",IFERROR(ROUND(E3/G3*H3,0),0))</f>
        <v/>
      </c>
      <c r="K3" s="7">
        <f>IF(C3="","",J3+F3)</f>
        <v/>
      </c>
      <c r="L3" s="7">
        <f>IF(C3="","",E3*10.5%)</f>
        <v/>
      </c>
      <c r="M3" s="7">
        <f>IF(C3="","",15500000+I3*6200000)</f>
        <v/>
      </c>
      <c r="N3" s="7">
        <f>IF(C3="","",MAX(0,K3-L3-M3))</f>
        <v/>
      </c>
      <c r="O3" s="7">
        <f>IF(C3="","",IF(N3&lt;=10000000,N3*5%,IF(N3&lt;=30000000,N3*10%-500000,IF(N3&lt;=60000000,N3*20%-3500000,IF(N3&lt;=100000000,N3*30%-9500000,N3*35%-14500000)))))</f>
        <v/>
      </c>
      <c r="P3" s="7">
        <f>IF(C3="","",K3-L3-O3)</f>
        <v/>
      </c>
    </row>
    <row r="4">
      <c r="A4" s="2" t="n">
        <v>3</v>
      </c>
      <c r="B4" s="3" t="inlineStr">
        <is>
          <t>NV003</t>
        </is>
      </c>
      <c r="C4" s="8">
        <f>IFERROR(INDEX('Danh sách NV'!$C$2:$C$500,MATCH(B4,'Danh sách NV'!$B$2:$B$500,0)),"")</f>
        <v/>
      </c>
      <c r="D4" s="8">
        <f>IFERROR(INDEX('Danh sách NV'!$D$2:$D$500,MATCH(B4,'Danh sách NV'!$B$2:$B$500,0)),"")</f>
        <v/>
      </c>
      <c r="E4" s="7">
        <f>IFERROR(INDEX('Danh sách NV'!$H$2:$H$500,MATCH(B4,'Danh sách NV'!$B$2:$B$500,0)),0)</f>
        <v/>
      </c>
      <c r="F4" s="7">
        <f>IFERROR(INDEX('Danh sách NV'!$I$2:$I$500,MATCH(B4,'Danh sách NV'!$B$2:$B$500,0)),0)</f>
        <v/>
      </c>
      <c r="G4" s="6">
        <f>IFERROR(INDEX('Chấm công'!$E$2:$E$500,MATCH(B4,'Chấm công'!$B$2:$B$500,0)),0)</f>
        <v/>
      </c>
      <c r="H4" s="6">
        <f>IF(B4="","",SUMIF('Chấm công'!$B$2:$B$500,B4,'Chấm công'!$J$2:$J$500))</f>
        <v/>
      </c>
      <c r="I4" s="6">
        <f>IFERROR(INDEX('Danh sách NV'!$J$2:$J$500,MATCH(B4,'Danh sách NV'!$B$2:$B$500,0)),0)</f>
        <v/>
      </c>
      <c r="J4" s="7">
        <f>IF(C4="","",IFERROR(ROUND(E4/G4*H4,0),0))</f>
        <v/>
      </c>
      <c r="K4" s="7">
        <f>IF(C4="","",J4+F4)</f>
        <v/>
      </c>
      <c r="L4" s="7">
        <f>IF(C4="","",E4*10.5%)</f>
        <v/>
      </c>
      <c r="M4" s="7">
        <f>IF(C4="","",15500000+I4*6200000)</f>
        <v/>
      </c>
      <c r="N4" s="7">
        <f>IF(C4="","",MAX(0,K4-L4-M4))</f>
        <v/>
      </c>
      <c r="O4" s="7">
        <f>IF(C4="","",IF(N4&lt;=10000000,N4*5%,IF(N4&lt;=30000000,N4*10%-500000,IF(N4&lt;=60000000,N4*20%-3500000,IF(N4&lt;=100000000,N4*30%-9500000,N4*35%-14500000)))))</f>
        <v/>
      </c>
      <c r="P4" s="7">
        <f>IF(C4="","",K4-L4-O4)</f>
        <v/>
      </c>
    </row>
    <row r="5">
      <c r="A5" s="2" t="n">
        <v>4</v>
      </c>
      <c r="B5" s="3" t="inlineStr">
        <is>
          <t>NV004</t>
        </is>
      </c>
      <c r="C5" s="8">
        <f>IFERROR(INDEX('Danh sách NV'!$C$2:$C$500,MATCH(B5,'Danh sách NV'!$B$2:$B$500,0)),"")</f>
        <v/>
      </c>
      <c r="D5" s="8">
        <f>IFERROR(INDEX('Danh sách NV'!$D$2:$D$500,MATCH(B5,'Danh sách NV'!$B$2:$B$500,0)),"")</f>
        <v/>
      </c>
      <c r="E5" s="7">
        <f>IFERROR(INDEX('Danh sách NV'!$H$2:$H$500,MATCH(B5,'Danh sách NV'!$B$2:$B$500,0)),0)</f>
        <v/>
      </c>
      <c r="F5" s="7">
        <f>IFERROR(INDEX('Danh sách NV'!$I$2:$I$500,MATCH(B5,'Danh sách NV'!$B$2:$B$500,0)),0)</f>
        <v/>
      </c>
      <c r="G5" s="6">
        <f>IFERROR(INDEX('Chấm công'!$E$2:$E$500,MATCH(B5,'Chấm công'!$B$2:$B$500,0)),0)</f>
        <v/>
      </c>
      <c r="H5" s="6">
        <f>IF(B5="","",SUMIF('Chấm công'!$B$2:$B$500,B5,'Chấm công'!$J$2:$J$500))</f>
        <v/>
      </c>
      <c r="I5" s="6">
        <f>IFERROR(INDEX('Danh sách NV'!$J$2:$J$500,MATCH(B5,'Danh sách NV'!$B$2:$B$500,0)),0)</f>
        <v/>
      </c>
      <c r="J5" s="7">
        <f>IF(C5="","",IFERROR(ROUND(E5/G5*H5,0),0))</f>
        <v/>
      </c>
      <c r="K5" s="7">
        <f>IF(C5="","",J5+F5)</f>
        <v/>
      </c>
      <c r="L5" s="7">
        <f>IF(C5="","",E5*10.5%)</f>
        <v/>
      </c>
      <c r="M5" s="7">
        <f>IF(C5="","",15500000+I5*6200000)</f>
        <v/>
      </c>
      <c r="N5" s="7">
        <f>IF(C5="","",MAX(0,K5-L5-M5))</f>
        <v/>
      </c>
      <c r="O5" s="7">
        <f>IF(C5="","",IF(N5&lt;=10000000,N5*5%,IF(N5&lt;=30000000,N5*10%-500000,IF(N5&lt;=60000000,N5*20%-3500000,IF(N5&lt;=100000000,N5*30%-9500000,N5*35%-14500000)))))</f>
        <v/>
      </c>
      <c r="P5" s="7">
        <f>IF(C5="","",K5-L5-O5)</f>
        <v/>
      </c>
    </row>
    <row r="6">
      <c r="A6" s="2" t="n"/>
      <c r="B6" s="3" t="n"/>
      <c r="C6" s="8">
        <f>IFERROR(INDEX('Danh sách NV'!$C$2:$C$500,MATCH(B6,'Danh sách NV'!$B$2:$B$500,0)),"")</f>
        <v/>
      </c>
      <c r="D6" s="8">
        <f>IFERROR(INDEX('Danh sách NV'!$D$2:$D$500,MATCH(B6,'Danh sách NV'!$B$2:$B$500,0)),"")</f>
        <v/>
      </c>
      <c r="E6" s="7">
        <f>IFERROR(INDEX('Danh sách NV'!$H$2:$H$500,MATCH(B6,'Danh sách NV'!$B$2:$B$500,0)),0)</f>
        <v/>
      </c>
      <c r="F6" s="7">
        <f>IFERROR(INDEX('Danh sách NV'!$I$2:$I$500,MATCH(B6,'Danh sách NV'!$B$2:$B$500,0)),0)</f>
        <v/>
      </c>
      <c r="G6" s="6">
        <f>IFERROR(INDEX('Chấm công'!$E$2:$E$500,MATCH(B6,'Chấm công'!$B$2:$B$500,0)),0)</f>
        <v/>
      </c>
      <c r="H6" s="6">
        <f>IF(B6="","",SUMIF('Chấm công'!$B$2:$B$500,B6,'Chấm công'!$J$2:$J$500))</f>
        <v/>
      </c>
      <c r="I6" s="6">
        <f>IFERROR(INDEX('Danh sách NV'!$J$2:$J$500,MATCH(B6,'Danh sách NV'!$B$2:$B$500,0)),0)</f>
        <v/>
      </c>
      <c r="J6" s="7">
        <f>IF(C6="","",IFERROR(ROUND(E6/G6*H6,0),0))</f>
        <v/>
      </c>
      <c r="K6" s="7">
        <f>IF(C6="","",J6+F6)</f>
        <v/>
      </c>
      <c r="L6" s="7">
        <f>IF(C6="","",E6*10.5%)</f>
        <v/>
      </c>
      <c r="M6" s="7">
        <f>IF(C6="","",15500000+I6*6200000)</f>
        <v/>
      </c>
      <c r="N6" s="7">
        <f>IF(C6="","",MAX(0,K6-L6-M6))</f>
        <v/>
      </c>
      <c r="O6" s="7">
        <f>IF(C6="","",IF(N6&lt;=10000000,N6*5%,IF(N6&lt;=30000000,N6*10%-500000,IF(N6&lt;=60000000,N6*20%-3500000,IF(N6&lt;=100000000,N6*30%-9500000,N6*35%-14500000)))))</f>
        <v/>
      </c>
      <c r="P6" s="7">
        <f>IF(C6="","",K6-L6-O6)</f>
        <v/>
      </c>
    </row>
    <row r="7">
      <c r="A7" s="2" t="n"/>
      <c r="B7" s="3" t="n"/>
      <c r="C7" s="8">
        <f>IFERROR(INDEX('Danh sách NV'!$C$2:$C$500,MATCH(B7,'Danh sách NV'!$B$2:$B$500,0)),"")</f>
        <v/>
      </c>
      <c r="D7" s="8">
        <f>IFERROR(INDEX('Danh sách NV'!$D$2:$D$500,MATCH(B7,'Danh sách NV'!$B$2:$B$500,0)),"")</f>
        <v/>
      </c>
      <c r="E7" s="7">
        <f>IFERROR(INDEX('Danh sách NV'!$H$2:$H$500,MATCH(B7,'Danh sách NV'!$B$2:$B$500,0)),0)</f>
        <v/>
      </c>
      <c r="F7" s="7">
        <f>IFERROR(INDEX('Danh sách NV'!$I$2:$I$500,MATCH(B7,'Danh sách NV'!$B$2:$B$500,0)),0)</f>
        <v/>
      </c>
      <c r="G7" s="6">
        <f>IFERROR(INDEX('Chấm công'!$E$2:$E$500,MATCH(B7,'Chấm công'!$B$2:$B$500,0)),0)</f>
        <v/>
      </c>
      <c r="H7" s="6">
        <f>IF(B7="","",SUMIF('Chấm công'!$B$2:$B$500,B7,'Chấm công'!$J$2:$J$500))</f>
        <v/>
      </c>
      <c r="I7" s="6">
        <f>IFERROR(INDEX('Danh sách NV'!$J$2:$J$500,MATCH(B7,'Danh sách NV'!$B$2:$B$500,0)),0)</f>
        <v/>
      </c>
      <c r="J7" s="7">
        <f>IF(C7="","",IFERROR(ROUND(E7/G7*H7,0),0))</f>
        <v/>
      </c>
      <c r="K7" s="7">
        <f>IF(C7="","",J7+F7)</f>
        <v/>
      </c>
      <c r="L7" s="7">
        <f>IF(C7="","",E7*10.5%)</f>
        <v/>
      </c>
      <c r="M7" s="7">
        <f>IF(C7="","",15500000+I7*6200000)</f>
        <v/>
      </c>
      <c r="N7" s="7">
        <f>IF(C7="","",MAX(0,K7-L7-M7))</f>
        <v/>
      </c>
      <c r="O7" s="7">
        <f>IF(C7="","",IF(N7&lt;=10000000,N7*5%,IF(N7&lt;=30000000,N7*10%-500000,IF(N7&lt;=60000000,N7*20%-3500000,IF(N7&lt;=100000000,N7*30%-9500000,N7*35%-14500000)))))</f>
        <v/>
      </c>
      <c r="P7" s="7">
        <f>IF(C7="","",K7-L7-O7)</f>
        <v/>
      </c>
    </row>
    <row r="8">
      <c r="A8" s="2" t="n"/>
      <c r="B8" s="3" t="n"/>
      <c r="C8" s="8">
        <f>IFERROR(INDEX('Danh sách NV'!$C$2:$C$500,MATCH(B8,'Danh sách NV'!$B$2:$B$500,0)),"")</f>
        <v/>
      </c>
      <c r="D8" s="8">
        <f>IFERROR(INDEX('Danh sách NV'!$D$2:$D$500,MATCH(B8,'Danh sách NV'!$B$2:$B$500,0)),"")</f>
        <v/>
      </c>
      <c r="E8" s="7">
        <f>IFERROR(INDEX('Danh sách NV'!$H$2:$H$500,MATCH(B8,'Danh sách NV'!$B$2:$B$500,0)),0)</f>
        <v/>
      </c>
      <c r="F8" s="7">
        <f>IFERROR(INDEX('Danh sách NV'!$I$2:$I$500,MATCH(B8,'Danh sách NV'!$B$2:$B$500,0)),0)</f>
        <v/>
      </c>
      <c r="G8" s="6">
        <f>IFERROR(INDEX('Chấm công'!$E$2:$E$500,MATCH(B8,'Chấm công'!$B$2:$B$500,0)),0)</f>
        <v/>
      </c>
      <c r="H8" s="6">
        <f>IF(B8="","",SUMIF('Chấm công'!$B$2:$B$500,B8,'Chấm công'!$J$2:$J$500))</f>
        <v/>
      </c>
      <c r="I8" s="6">
        <f>IFERROR(INDEX('Danh sách NV'!$J$2:$J$500,MATCH(B8,'Danh sách NV'!$B$2:$B$500,0)),0)</f>
        <v/>
      </c>
      <c r="J8" s="7">
        <f>IF(C8="","",IFERROR(ROUND(E8/G8*H8,0),0))</f>
        <v/>
      </c>
      <c r="K8" s="7">
        <f>IF(C8="","",J8+F8)</f>
        <v/>
      </c>
      <c r="L8" s="7">
        <f>IF(C8="","",E8*10.5%)</f>
        <v/>
      </c>
      <c r="M8" s="7">
        <f>IF(C8="","",15500000+I8*6200000)</f>
        <v/>
      </c>
      <c r="N8" s="7">
        <f>IF(C8="","",MAX(0,K8-L8-M8))</f>
        <v/>
      </c>
      <c r="O8" s="7">
        <f>IF(C8="","",IF(N8&lt;=10000000,N8*5%,IF(N8&lt;=30000000,N8*10%-500000,IF(N8&lt;=60000000,N8*20%-3500000,IF(N8&lt;=100000000,N8*30%-9500000,N8*35%-14500000)))))</f>
        <v/>
      </c>
      <c r="P8" s="7">
        <f>IF(C8="","",K8-L8-O8)</f>
        <v/>
      </c>
    </row>
    <row r="9">
      <c r="A9" s="2" t="n"/>
      <c r="B9" s="3" t="n"/>
      <c r="C9" s="8">
        <f>IFERROR(INDEX('Danh sách NV'!$C$2:$C$500,MATCH(B9,'Danh sách NV'!$B$2:$B$500,0)),"")</f>
        <v/>
      </c>
      <c r="D9" s="8">
        <f>IFERROR(INDEX('Danh sách NV'!$D$2:$D$500,MATCH(B9,'Danh sách NV'!$B$2:$B$500,0)),"")</f>
        <v/>
      </c>
      <c r="E9" s="7">
        <f>IFERROR(INDEX('Danh sách NV'!$H$2:$H$500,MATCH(B9,'Danh sách NV'!$B$2:$B$500,0)),0)</f>
        <v/>
      </c>
      <c r="F9" s="7">
        <f>IFERROR(INDEX('Danh sách NV'!$I$2:$I$500,MATCH(B9,'Danh sách NV'!$B$2:$B$500,0)),0)</f>
        <v/>
      </c>
      <c r="G9" s="6">
        <f>IFERROR(INDEX('Chấm công'!$E$2:$E$500,MATCH(B9,'Chấm công'!$B$2:$B$500,0)),0)</f>
        <v/>
      </c>
      <c r="H9" s="6">
        <f>IF(B9="","",SUMIF('Chấm công'!$B$2:$B$500,B9,'Chấm công'!$J$2:$J$500))</f>
        <v/>
      </c>
      <c r="I9" s="6">
        <f>IFERROR(INDEX('Danh sách NV'!$J$2:$J$500,MATCH(B9,'Danh sách NV'!$B$2:$B$500,0)),0)</f>
        <v/>
      </c>
      <c r="J9" s="7">
        <f>IF(C9="","",IFERROR(ROUND(E9/G9*H9,0),0))</f>
        <v/>
      </c>
      <c r="K9" s="7">
        <f>IF(C9="","",J9+F9)</f>
        <v/>
      </c>
      <c r="L9" s="7">
        <f>IF(C9="","",E9*10.5%)</f>
        <v/>
      </c>
      <c r="M9" s="7">
        <f>IF(C9="","",15500000+I9*6200000)</f>
        <v/>
      </c>
      <c r="N9" s="7">
        <f>IF(C9="","",MAX(0,K9-L9-M9))</f>
        <v/>
      </c>
      <c r="O9" s="7">
        <f>IF(C9="","",IF(N9&lt;=10000000,N9*5%,IF(N9&lt;=30000000,N9*10%-500000,IF(N9&lt;=60000000,N9*20%-3500000,IF(N9&lt;=100000000,N9*30%-9500000,N9*35%-14500000)))))</f>
        <v/>
      </c>
      <c r="P9" s="7">
        <f>IF(C9="","",K9-L9-O9)</f>
        <v/>
      </c>
    </row>
    <row r="10">
      <c r="A10" s="2" t="n"/>
      <c r="B10" s="3" t="n"/>
      <c r="C10" s="8">
        <f>IFERROR(INDEX('Danh sách NV'!$C$2:$C$500,MATCH(B10,'Danh sách NV'!$B$2:$B$500,0)),"")</f>
        <v/>
      </c>
      <c r="D10" s="8">
        <f>IFERROR(INDEX('Danh sách NV'!$D$2:$D$500,MATCH(B10,'Danh sách NV'!$B$2:$B$500,0)),"")</f>
        <v/>
      </c>
      <c r="E10" s="7">
        <f>IFERROR(INDEX('Danh sách NV'!$H$2:$H$500,MATCH(B10,'Danh sách NV'!$B$2:$B$500,0)),0)</f>
        <v/>
      </c>
      <c r="F10" s="7">
        <f>IFERROR(INDEX('Danh sách NV'!$I$2:$I$500,MATCH(B10,'Danh sách NV'!$B$2:$B$500,0)),0)</f>
        <v/>
      </c>
      <c r="G10" s="6">
        <f>IFERROR(INDEX('Chấm công'!$E$2:$E$500,MATCH(B10,'Chấm công'!$B$2:$B$500,0)),0)</f>
        <v/>
      </c>
      <c r="H10" s="6">
        <f>IF(B10="","",SUMIF('Chấm công'!$B$2:$B$500,B10,'Chấm công'!$J$2:$J$500))</f>
        <v/>
      </c>
      <c r="I10" s="6">
        <f>IFERROR(INDEX('Danh sách NV'!$J$2:$J$500,MATCH(B10,'Danh sách NV'!$B$2:$B$500,0)),0)</f>
        <v/>
      </c>
      <c r="J10" s="7">
        <f>IF(C10="","",IFERROR(ROUND(E10/G10*H10,0),0))</f>
        <v/>
      </c>
      <c r="K10" s="7">
        <f>IF(C10="","",J10+F10)</f>
        <v/>
      </c>
      <c r="L10" s="7">
        <f>IF(C10="","",E10*10.5%)</f>
        <v/>
      </c>
      <c r="M10" s="7">
        <f>IF(C10="","",15500000+I10*6200000)</f>
        <v/>
      </c>
      <c r="N10" s="7">
        <f>IF(C10="","",MAX(0,K10-L10-M10))</f>
        <v/>
      </c>
      <c r="O10" s="7">
        <f>IF(C10="","",IF(N10&lt;=10000000,N10*5%,IF(N10&lt;=30000000,N10*10%-500000,IF(N10&lt;=60000000,N10*20%-3500000,IF(N10&lt;=100000000,N10*30%-9500000,N10*35%-14500000)))))</f>
        <v/>
      </c>
      <c r="P10" s="7">
        <f>IF(C10="","",K10-L10-O10)</f>
        <v/>
      </c>
    </row>
    <row r="11">
      <c r="A11" s="2" t="n"/>
      <c r="B11" s="3" t="n"/>
      <c r="C11" s="8">
        <f>IFERROR(INDEX('Danh sách NV'!$C$2:$C$500,MATCH(B11,'Danh sách NV'!$B$2:$B$500,0)),"")</f>
        <v/>
      </c>
      <c r="D11" s="8">
        <f>IFERROR(INDEX('Danh sách NV'!$D$2:$D$500,MATCH(B11,'Danh sách NV'!$B$2:$B$500,0)),"")</f>
        <v/>
      </c>
      <c r="E11" s="7">
        <f>IFERROR(INDEX('Danh sách NV'!$H$2:$H$500,MATCH(B11,'Danh sách NV'!$B$2:$B$500,0)),0)</f>
        <v/>
      </c>
      <c r="F11" s="7">
        <f>IFERROR(INDEX('Danh sách NV'!$I$2:$I$500,MATCH(B11,'Danh sách NV'!$B$2:$B$500,0)),0)</f>
        <v/>
      </c>
      <c r="G11" s="6">
        <f>IFERROR(INDEX('Chấm công'!$E$2:$E$500,MATCH(B11,'Chấm công'!$B$2:$B$500,0)),0)</f>
        <v/>
      </c>
      <c r="H11" s="6">
        <f>IF(B11="","",SUMIF('Chấm công'!$B$2:$B$500,B11,'Chấm công'!$J$2:$J$500))</f>
        <v/>
      </c>
      <c r="I11" s="6">
        <f>IFERROR(INDEX('Danh sách NV'!$J$2:$J$500,MATCH(B11,'Danh sách NV'!$B$2:$B$500,0)),0)</f>
        <v/>
      </c>
      <c r="J11" s="7">
        <f>IF(C11="","",IFERROR(ROUND(E11/G11*H11,0),0))</f>
        <v/>
      </c>
      <c r="K11" s="7">
        <f>IF(C11="","",J11+F11)</f>
        <v/>
      </c>
      <c r="L11" s="7">
        <f>IF(C11="","",E11*10.5%)</f>
        <v/>
      </c>
      <c r="M11" s="7">
        <f>IF(C11="","",15500000+I11*6200000)</f>
        <v/>
      </c>
      <c r="N11" s="7">
        <f>IF(C11="","",MAX(0,K11-L11-M11))</f>
        <v/>
      </c>
      <c r="O11" s="7">
        <f>IF(C11="","",IF(N11&lt;=10000000,N11*5%,IF(N11&lt;=30000000,N11*10%-500000,IF(N11&lt;=60000000,N11*20%-3500000,IF(N11&lt;=100000000,N11*30%-9500000,N11*35%-14500000)))))</f>
        <v/>
      </c>
      <c r="P11" s="7">
        <f>IF(C11="","",K11-L11-O11)</f>
        <v/>
      </c>
    </row>
    <row r="12">
      <c r="A12" s="2" t="n"/>
      <c r="B12" s="3" t="n"/>
      <c r="C12" s="8">
        <f>IFERROR(INDEX('Danh sách NV'!$C$2:$C$500,MATCH(B12,'Danh sách NV'!$B$2:$B$500,0)),"")</f>
        <v/>
      </c>
      <c r="D12" s="8">
        <f>IFERROR(INDEX('Danh sách NV'!$D$2:$D$500,MATCH(B12,'Danh sách NV'!$B$2:$B$500,0)),"")</f>
        <v/>
      </c>
      <c r="E12" s="7">
        <f>IFERROR(INDEX('Danh sách NV'!$H$2:$H$500,MATCH(B12,'Danh sách NV'!$B$2:$B$500,0)),0)</f>
        <v/>
      </c>
      <c r="F12" s="7">
        <f>IFERROR(INDEX('Danh sách NV'!$I$2:$I$500,MATCH(B12,'Danh sách NV'!$B$2:$B$500,0)),0)</f>
        <v/>
      </c>
      <c r="G12" s="6">
        <f>IFERROR(INDEX('Chấm công'!$E$2:$E$500,MATCH(B12,'Chấm công'!$B$2:$B$500,0)),0)</f>
        <v/>
      </c>
      <c r="H12" s="6">
        <f>IF(B12="","",SUMIF('Chấm công'!$B$2:$B$500,B12,'Chấm công'!$J$2:$J$500))</f>
        <v/>
      </c>
      <c r="I12" s="6">
        <f>IFERROR(INDEX('Danh sách NV'!$J$2:$J$500,MATCH(B12,'Danh sách NV'!$B$2:$B$500,0)),0)</f>
        <v/>
      </c>
      <c r="J12" s="7">
        <f>IF(C12="","",IFERROR(ROUND(E12/G12*H12,0),0))</f>
        <v/>
      </c>
      <c r="K12" s="7">
        <f>IF(C12="","",J12+F12)</f>
        <v/>
      </c>
      <c r="L12" s="7">
        <f>IF(C12="","",E12*10.5%)</f>
        <v/>
      </c>
      <c r="M12" s="7">
        <f>IF(C12="","",15500000+I12*6200000)</f>
        <v/>
      </c>
      <c r="N12" s="7">
        <f>IF(C12="","",MAX(0,K12-L12-M12))</f>
        <v/>
      </c>
      <c r="O12" s="7">
        <f>IF(C12="","",IF(N12&lt;=10000000,N12*5%,IF(N12&lt;=30000000,N12*10%-500000,IF(N12&lt;=60000000,N12*20%-3500000,IF(N12&lt;=100000000,N12*30%-9500000,N12*35%-14500000)))))</f>
        <v/>
      </c>
      <c r="P12" s="7">
        <f>IF(C12="","",K12-L12-O12)</f>
        <v/>
      </c>
    </row>
    <row r="13">
      <c r="A13" s="2" t="n"/>
      <c r="B13" s="3" t="n"/>
      <c r="C13" s="8">
        <f>IFERROR(INDEX('Danh sách NV'!$C$2:$C$500,MATCH(B13,'Danh sách NV'!$B$2:$B$500,0)),"")</f>
        <v/>
      </c>
      <c r="D13" s="8">
        <f>IFERROR(INDEX('Danh sách NV'!$D$2:$D$500,MATCH(B13,'Danh sách NV'!$B$2:$B$500,0)),"")</f>
        <v/>
      </c>
      <c r="E13" s="7">
        <f>IFERROR(INDEX('Danh sách NV'!$H$2:$H$500,MATCH(B13,'Danh sách NV'!$B$2:$B$500,0)),0)</f>
        <v/>
      </c>
      <c r="F13" s="7">
        <f>IFERROR(INDEX('Danh sách NV'!$I$2:$I$500,MATCH(B13,'Danh sách NV'!$B$2:$B$500,0)),0)</f>
        <v/>
      </c>
      <c r="G13" s="6">
        <f>IFERROR(INDEX('Chấm công'!$E$2:$E$500,MATCH(B13,'Chấm công'!$B$2:$B$500,0)),0)</f>
        <v/>
      </c>
      <c r="H13" s="6">
        <f>IF(B13="","",SUMIF('Chấm công'!$B$2:$B$500,B13,'Chấm công'!$J$2:$J$500))</f>
        <v/>
      </c>
      <c r="I13" s="6">
        <f>IFERROR(INDEX('Danh sách NV'!$J$2:$J$500,MATCH(B13,'Danh sách NV'!$B$2:$B$500,0)),0)</f>
        <v/>
      </c>
      <c r="J13" s="7">
        <f>IF(C13="","",IFERROR(ROUND(E13/G13*H13,0),0))</f>
        <v/>
      </c>
      <c r="K13" s="7">
        <f>IF(C13="","",J13+F13)</f>
        <v/>
      </c>
      <c r="L13" s="7">
        <f>IF(C13="","",E13*10.5%)</f>
        <v/>
      </c>
      <c r="M13" s="7">
        <f>IF(C13="","",15500000+I13*6200000)</f>
        <v/>
      </c>
      <c r="N13" s="7">
        <f>IF(C13="","",MAX(0,K13-L13-M13))</f>
        <v/>
      </c>
      <c r="O13" s="7">
        <f>IF(C13="","",IF(N13&lt;=10000000,N13*5%,IF(N13&lt;=30000000,N13*10%-500000,IF(N13&lt;=60000000,N13*20%-3500000,IF(N13&lt;=100000000,N13*30%-9500000,N13*35%-14500000)))))</f>
        <v/>
      </c>
      <c r="P13" s="7">
        <f>IF(C13="","",K13-L13-O13)</f>
        <v/>
      </c>
    </row>
    <row r="14">
      <c r="A14" s="2" t="n"/>
      <c r="B14" s="3" t="n"/>
      <c r="C14" s="8">
        <f>IFERROR(INDEX('Danh sách NV'!$C$2:$C$500,MATCH(B14,'Danh sách NV'!$B$2:$B$500,0)),"")</f>
        <v/>
      </c>
      <c r="D14" s="8">
        <f>IFERROR(INDEX('Danh sách NV'!$D$2:$D$500,MATCH(B14,'Danh sách NV'!$B$2:$B$500,0)),"")</f>
        <v/>
      </c>
      <c r="E14" s="7">
        <f>IFERROR(INDEX('Danh sách NV'!$H$2:$H$500,MATCH(B14,'Danh sách NV'!$B$2:$B$500,0)),0)</f>
        <v/>
      </c>
      <c r="F14" s="7">
        <f>IFERROR(INDEX('Danh sách NV'!$I$2:$I$500,MATCH(B14,'Danh sách NV'!$B$2:$B$500,0)),0)</f>
        <v/>
      </c>
      <c r="G14" s="6">
        <f>IFERROR(INDEX('Chấm công'!$E$2:$E$500,MATCH(B14,'Chấm công'!$B$2:$B$500,0)),0)</f>
        <v/>
      </c>
      <c r="H14" s="6">
        <f>IF(B14="","",SUMIF('Chấm công'!$B$2:$B$500,B14,'Chấm công'!$J$2:$J$500))</f>
        <v/>
      </c>
      <c r="I14" s="6">
        <f>IFERROR(INDEX('Danh sách NV'!$J$2:$J$500,MATCH(B14,'Danh sách NV'!$B$2:$B$500,0)),0)</f>
        <v/>
      </c>
      <c r="J14" s="7">
        <f>IF(C14="","",IFERROR(ROUND(E14/G14*H14,0),0))</f>
        <v/>
      </c>
      <c r="K14" s="7">
        <f>IF(C14="","",J14+F14)</f>
        <v/>
      </c>
      <c r="L14" s="7">
        <f>IF(C14="","",E14*10.5%)</f>
        <v/>
      </c>
      <c r="M14" s="7">
        <f>IF(C14="","",15500000+I14*6200000)</f>
        <v/>
      </c>
      <c r="N14" s="7">
        <f>IF(C14="","",MAX(0,K14-L14-M14))</f>
        <v/>
      </c>
      <c r="O14" s="7">
        <f>IF(C14="","",IF(N14&lt;=10000000,N14*5%,IF(N14&lt;=30000000,N14*10%-500000,IF(N14&lt;=60000000,N14*20%-3500000,IF(N14&lt;=100000000,N14*30%-9500000,N14*35%-14500000)))))</f>
        <v/>
      </c>
      <c r="P14" s="7">
        <f>IF(C14="","",K14-L14-O14)</f>
        <v/>
      </c>
    </row>
    <row r="15">
      <c r="A15" s="2" t="n"/>
      <c r="B15" s="3" t="n"/>
      <c r="C15" s="8">
        <f>IFERROR(INDEX('Danh sách NV'!$C$2:$C$500,MATCH(B15,'Danh sách NV'!$B$2:$B$500,0)),"")</f>
        <v/>
      </c>
      <c r="D15" s="8">
        <f>IFERROR(INDEX('Danh sách NV'!$D$2:$D$500,MATCH(B15,'Danh sách NV'!$B$2:$B$500,0)),"")</f>
        <v/>
      </c>
      <c r="E15" s="7">
        <f>IFERROR(INDEX('Danh sách NV'!$H$2:$H$500,MATCH(B15,'Danh sách NV'!$B$2:$B$500,0)),0)</f>
        <v/>
      </c>
      <c r="F15" s="7">
        <f>IFERROR(INDEX('Danh sách NV'!$I$2:$I$500,MATCH(B15,'Danh sách NV'!$B$2:$B$500,0)),0)</f>
        <v/>
      </c>
      <c r="G15" s="6">
        <f>IFERROR(INDEX('Chấm công'!$E$2:$E$500,MATCH(B15,'Chấm công'!$B$2:$B$500,0)),0)</f>
        <v/>
      </c>
      <c r="H15" s="6">
        <f>IF(B15="","",SUMIF('Chấm công'!$B$2:$B$500,B15,'Chấm công'!$J$2:$J$500))</f>
        <v/>
      </c>
      <c r="I15" s="6">
        <f>IFERROR(INDEX('Danh sách NV'!$J$2:$J$500,MATCH(B15,'Danh sách NV'!$B$2:$B$500,0)),0)</f>
        <v/>
      </c>
      <c r="J15" s="7">
        <f>IF(C15="","",IFERROR(ROUND(E15/G15*H15,0),0))</f>
        <v/>
      </c>
      <c r="K15" s="7">
        <f>IF(C15="","",J15+F15)</f>
        <v/>
      </c>
      <c r="L15" s="7">
        <f>IF(C15="","",E15*10.5%)</f>
        <v/>
      </c>
      <c r="M15" s="7">
        <f>IF(C15="","",15500000+I15*6200000)</f>
        <v/>
      </c>
      <c r="N15" s="7">
        <f>IF(C15="","",MAX(0,K15-L15-M15))</f>
        <v/>
      </c>
      <c r="O15" s="7">
        <f>IF(C15="","",IF(N15&lt;=10000000,N15*5%,IF(N15&lt;=30000000,N15*10%-500000,IF(N15&lt;=60000000,N15*20%-3500000,IF(N15&lt;=100000000,N15*30%-9500000,N15*35%-14500000)))))</f>
        <v/>
      </c>
      <c r="P15" s="7">
        <f>IF(C15="","",K15-L15-O15)</f>
        <v/>
      </c>
    </row>
    <row r="16">
      <c r="A16" s="2" t="n"/>
      <c r="B16" s="3" t="n"/>
      <c r="C16" s="8">
        <f>IFERROR(INDEX('Danh sách NV'!$C$2:$C$500,MATCH(B16,'Danh sách NV'!$B$2:$B$500,0)),"")</f>
        <v/>
      </c>
      <c r="D16" s="8">
        <f>IFERROR(INDEX('Danh sách NV'!$D$2:$D$500,MATCH(B16,'Danh sách NV'!$B$2:$B$500,0)),"")</f>
        <v/>
      </c>
      <c r="E16" s="7">
        <f>IFERROR(INDEX('Danh sách NV'!$H$2:$H$500,MATCH(B16,'Danh sách NV'!$B$2:$B$500,0)),0)</f>
        <v/>
      </c>
      <c r="F16" s="7">
        <f>IFERROR(INDEX('Danh sách NV'!$I$2:$I$500,MATCH(B16,'Danh sách NV'!$B$2:$B$500,0)),0)</f>
        <v/>
      </c>
      <c r="G16" s="6">
        <f>IFERROR(INDEX('Chấm công'!$E$2:$E$500,MATCH(B16,'Chấm công'!$B$2:$B$500,0)),0)</f>
        <v/>
      </c>
      <c r="H16" s="6">
        <f>IF(B16="","",SUMIF('Chấm công'!$B$2:$B$500,B16,'Chấm công'!$J$2:$J$500))</f>
        <v/>
      </c>
      <c r="I16" s="6">
        <f>IFERROR(INDEX('Danh sách NV'!$J$2:$J$500,MATCH(B16,'Danh sách NV'!$B$2:$B$500,0)),0)</f>
        <v/>
      </c>
      <c r="J16" s="7">
        <f>IF(C16="","",IFERROR(ROUND(E16/G16*H16,0),0))</f>
        <v/>
      </c>
      <c r="K16" s="7">
        <f>IF(C16="","",J16+F16)</f>
        <v/>
      </c>
      <c r="L16" s="7">
        <f>IF(C16="","",E16*10.5%)</f>
        <v/>
      </c>
      <c r="M16" s="7">
        <f>IF(C16="","",15500000+I16*6200000)</f>
        <v/>
      </c>
      <c r="N16" s="7">
        <f>IF(C16="","",MAX(0,K16-L16-M16))</f>
        <v/>
      </c>
      <c r="O16" s="7">
        <f>IF(C16="","",IF(N16&lt;=10000000,N16*5%,IF(N16&lt;=30000000,N16*10%-500000,IF(N16&lt;=60000000,N16*20%-3500000,IF(N16&lt;=100000000,N16*30%-9500000,N16*35%-14500000)))))</f>
        <v/>
      </c>
      <c r="P16" s="7">
        <f>IF(C16="","",K16-L16-O16)</f>
        <v/>
      </c>
    </row>
    <row r="17">
      <c r="A17" s="2" t="n"/>
      <c r="B17" s="3" t="n"/>
      <c r="C17" s="8">
        <f>IFERROR(INDEX('Danh sách NV'!$C$2:$C$500,MATCH(B17,'Danh sách NV'!$B$2:$B$500,0)),"")</f>
        <v/>
      </c>
      <c r="D17" s="8">
        <f>IFERROR(INDEX('Danh sách NV'!$D$2:$D$500,MATCH(B17,'Danh sách NV'!$B$2:$B$500,0)),"")</f>
        <v/>
      </c>
      <c r="E17" s="7">
        <f>IFERROR(INDEX('Danh sách NV'!$H$2:$H$500,MATCH(B17,'Danh sách NV'!$B$2:$B$500,0)),0)</f>
        <v/>
      </c>
      <c r="F17" s="7">
        <f>IFERROR(INDEX('Danh sách NV'!$I$2:$I$500,MATCH(B17,'Danh sách NV'!$B$2:$B$500,0)),0)</f>
        <v/>
      </c>
      <c r="G17" s="6">
        <f>IFERROR(INDEX('Chấm công'!$E$2:$E$500,MATCH(B17,'Chấm công'!$B$2:$B$500,0)),0)</f>
        <v/>
      </c>
      <c r="H17" s="6">
        <f>IF(B17="","",SUMIF('Chấm công'!$B$2:$B$500,B17,'Chấm công'!$J$2:$J$500))</f>
        <v/>
      </c>
      <c r="I17" s="6">
        <f>IFERROR(INDEX('Danh sách NV'!$J$2:$J$500,MATCH(B17,'Danh sách NV'!$B$2:$B$500,0)),0)</f>
        <v/>
      </c>
      <c r="J17" s="7">
        <f>IF(C17="","",IFERROR(ROUND(E17/G17*H17,0),0))</f>
        <v/>
      </c>
      <c r="K17" s="7">
        <f>IF(C17="","",J17+F17)</f>
        <v/>
      </c>
      <c r="L17" s="7">
        <f>IF(C17="","",E17*10.5%)</f>
        <v/>
      </c>
      <c r="M17" s="7">
        <f>IF(C17="","",15500000+I17*6200000)</f>
        <v/>
      </c>
      <c r="N17" s="7">
        <f>IF(C17="","",MAX(0,K17-L17-M17))</f>
        <v/>
      </c>
      <c r="O17" s="7">
        <f>IF(C17="","",IF(N17&lt;=10000000,N17*5%,IF(N17&lt;=30000000,N17*10%-500000,IF(N17&lt;=60000000,N17*20%-3500000,IF(N17&lt;=100000000,N17*30%-9500000,N17*35%-14500000)))))</f>
        <v/>
      </c>
      <c r="P17" s="7">
        <f>IF(C17="","",K17-L17-O17)</f>
        <v/>
      </c>
    </row>
    <row r="18">
      <c r="A18" s="2" t="n"/>
      <c r="B18" s="3" t="n"/>
      <c r="C18" s="8">
        <f>IFERROR(INDEX('Danh sách NV'!$C$2:$C$500,MATCH(B18,'Danh sách NV'!$B$2:$B$500,0)),"")</f>
        <v/>
      </c>
      <c r="D18" s="8">
        <f>IFERROR(INDEX('Danh sách NV'!$D$2:$D$500,MATCH(B18,'Danh sách NV'!$B$2:$B$500,0)),"")</f>
        <v/>
      </c>
      <c r="E18" s="7">
        <f>IFERROR(INDEX('Danh sách NV'!$H$2:$H$500,MATCH(B18,'Danh sách NV'!$B$2:$B$500,0)),0)</f>
        <v/>
      </c>
      <c r="F18" s="7">
        <f>IFERROR(INDEX('Danh sách NV'!$I$2:$I$500,MATCH(B18,'Danh sách NV'!$B$2:$B$500,0)),0)</f>
        <v/>
      </c>
      <c r="G18" s="6">
        <f>IFERROR(INDEX('Chấm công'!$E$2:$E$500,MATCH(B18,'Chấm công'!$B$2:$B$500,0)),0)</f>
        <v/>
      </c>
      <c r="H18" s="6">
        <f>IF(B18="","",SUMIF('Chấm công'!$B$2:$B$500,B18,'Chấm công'!$J$2:$J$500))</f>
        <v/>
      </c>
      <c r="I18" s="6">
        <f>IFERROR(INDEX('Danh sách NV'!$J$2:$J$500,MATCH(B18,'Danh sách NV'!$B$2:$B$500,0)),0)</f>
        <v/>
      </c>
      <c r="J18" s="7">
        <f>IF(C18="","",IFERROR(ROUND(E18/G18*H18,0),0))</f>
        <v/>
      </c>
      <c r="K18" s="7">
        <f>IF(C18="","",J18+F18)</f>
        <v/>
      </c>
      <c r="L18" s="7">
        <f>IF(C18="","",E18*10.5%)</f>
        <v/>
      </c>
      <c r="M18" s="7">
        <f>IF(C18="","",15500000+I18*6200000)</f>
        <v/>
      </c>
      <c r="N18" s="7">
        <f>IF(C18="","",MAX(0,K18-L18-M18))</f>
        <v/>
      </c>
      <c r="O18" s="7">
        <f>IF(C18="","",IF(N18&lt;=10000000,N18*5%,IF(N18&lt;=30000000,N18*10%-500000,IF(N18&lt;=60000000,N18*20%-3500000,IF(N18&lt;=100000000,N18*30%-9500000,N18*35%-14500000)))))</f>
        <v/>
      </c>
      <c r="P18" s="7">
        <f>IF(C18="","",K18-L18-O18)</f>
        <v/>
      </c>
    </row>
    <row r="19">
      <c r="A19" s="2" t="n"/>
      <c r="B19" s="3" t="n"/>
      <c r="C19" s="8">
        <f>IFERROR(INDEX('Danh sách NV'!$C$2:$C$500,MATCH(B19,'Danh sách NV'!$B$2:$B$500,0)),"")</f>
        <v/>
      </c>
      <c r="D19" s="8">
        <f>IFERROR(INDEX('Danh sách NV'!$D$2:$D$500,MATCH(B19,'Danh sách NV'!$B$2:$B$500,0)),"")</f>
        <v/>
      </c>
      <c r="E19" s="7">
        <f>IFERROR(INDEX('Danh sách NV'!$H$2:$H$500,MATCH(B19,'Danh sách NV'!$B$2:$B$500,0)),0)</f>
        <v/>
      </c>
      <c r="F19" s="7">
        <f>IFERROR(INDEX('Danh sách NV'!$I$2:$I$500,MATCH(B19,'Danh sách NV'!$B$2:$B$500,0)),0)</f>
        <v/>
      </c>
      <c r="G19" s="6">
        <f>IFERROR(INDEX('Chấm công'!$E$2:$E$500,MATCH(B19,'Chấm công'!$B$2:$B$500,0)),0)</f>
        <v/>
      </c>
      <c r="H19" s="6">
        <f>IF(B19="","",SUMIF('Chấm công'!$B$2:$B$500,B19,'Chấm công'!$J$2:$J$500))</f>
        <v/>
      </c>
      <c r="I19" s="6">
        <f>IFERROR(INDEX('Danh sách NV'!$J$2:$J$500,MATCH(B19,'Danh sách NV'!$B$2:$B$500,0)),0)</f>
        <v/>
      </c>
      <c r="J19" s="7">
        <f>IF(C19="","",IFERROR(ROUND(E19/G19*H19,0),0))</f>
        <v/>
      </c>
      <c r="K19" s="7">
        <f>IF(C19="","",J19+F19)</f>
        <v/>
      </c>
      <c r="L19" s="7">
        <f>IF(C19="","",E19*10.5%)</f>
        <v/>
      </c>
      <c r="M19" s="7">
        <f>IF(C19="","",15500000+I19*6200000)</f>
        <v/>
      </c>
      <c r="N19" s="7">
        <f>IF(C19="","",MAX(0,K19-L19-M19))</f>
        <v/>
      </c>
      <c r="O19" s="7">
        <f>IF(C19="","",IF(N19&lt;=10000000,N19*5%,IF(N19&lt;=30000000,N19*10%-500000,IF(N19&lt;=60000000,N19*20%-3500000,IF(N19&lt;=100000000,N19*30%-9500000,N19*35%-14500000)))))</f>
        <v/>
      </c>
      <c r="P19" s="7">
        <f>IF(C19="","",K19-L19-O19)</f>
        <v/>
      </c>
    </row>
    <row r="20">
      <c r="A20" s="2" t="n"/>
      <c r="B20" s="3" t="n"/>
      <c r="C20" s="8">
        <f>IFERROR(INDEX('Danh sách NV'!$C$2:$C$500,MATCH(B20,'Danh sách NV'!$B$2:$B$500,0)),"")</f>
        <v/>
      </c>
      <c r="D20" s="8">
        <f>IFERROR(INDEX('Danh sách NV'!$D$2:$D$500,MATCH(B20,'Danh sách NV'!$B$2:$B$500,0)),"")</f>
        <v/>
      </c>
      <c r="E20" s="7">
        <f>IFERROR(INDEX('Danh sách NV'!$H$2:$H$500,MATCH(B20,'Danh sách NV'!$B$2:$B$500,0)),0)</f>
        <v/>
      </c>
      <c r="F20" s="7">
        <f>IFERROR(INDEX('Danh sách NV'!$I$2:$I$500,MATCH(B20,'Danh sách NV'!$B$2:$B$500,0)),0)</f>
        <v/>
      </c>
      <c r="G20" s="6">
        <f>IFERROR(INDEX('Chấm công'!$E$2:$E$500,MATCH(B20,'Chấm công'!$B$2:$B$500,0)),0)</f>
        <v/>
      </c>
      <c r="H20" s="6">
        <f>IF(B20="","",SUMIF('Chấm công'!$B$2:$B$500,B20,'Chấm công'!$J$2:$J$500))</f>
        <v/>
      </c>
      <c r="I20" s="6">
        <f>IFERROR(INDEX('Danh sách NV'!$J$2:$J$500,MATCH(B20,'Danh sách NV'!$B$2:$B$500,0)),0)</f>
        <v/>
      </c>
      <c r="J20" s="7">
        <f>IF(C20="","",IFERROR(ROUND(E20/G20*H20,0),0))</f>
        <v/>
      </c>
      <c r="K20" s="7">
        <f>IF(C20="","",J20+F20)</f>
        <v/>
      </c>
      <c r="L20" s="7">
        <f>IF(C20="","",E20*10.5%)</f>
        <v/>
      </c>
      <c r="M20" s="7">
        <f>IF(C20="","",15500000+I20*6200000)</f>
        <v/>
      </c>
      <c r="N20" s="7">
        <f>IF(C20="","",MAX(0,K20-L20-M20))</f>
        <v/>
      </c>
      <c r="O20" s="7">
        <f>IF(C20="","",IF(N20&lt;=10000000,N20*5%,IF(N20&lt;=30000000,N20*10%-500000,IF(N20&lt;=60000000,N20*20%-3500000,IF(N20&lt;=100000000,N20*30%-9500000,N20*35%-14500000)))))</f>
        <v/>
      </c>
      <c r="P20" s="7">
        <f>IF(C20="","",K20-L20-O20)</f>
        <v/>
      </c>
    </row>
    <row r="21">
      <c r="A21" s="2" t="n"/>
      <c r="B21" s="3" t="n"/>
      <c r="C21" s="8">
        <f>IFERROR(INDEX('Danh sách NV'!$C$2:$C$500,MATCH(B21,'Danh sách NV'!$B$2:$B$500,0)),"")</f>
        <v/>
      </c>
      <c r="D21" s="8">
        <f>IFERROR(INDEX('Danh sách NV'!$D$2:$D$500,MATCH(B21,'Danh sách NV'!$B$2:$B$500,0)),"")</f>
        <v/>
      </c>
      <c r="E21" s="7">
        <f>IFERROR(INDEX('Danh sách NV'!$H$2:$H$500,MATCH(B21,'Danh sách NV'!$B$2:$B$500,0)),0)</f>
        <v/>
      </c>
      <c r="F21" s="7">
        <f>IFERROR(INDEX('Danh sách NV'!$I$2:$I$500,MATCH(B21,'Danh sách NV'!$B$2:$B$500,0)),0)</f>
        <v/>
      </c>
      <c r="G21" s="6">
        <f>IFERROR(INDEX('Chấm công'!$E$2:$E$500,MATCH(B21,'Chấm công'!$B$2:$B$500,0)),0)</f>
        <v/>
      </c>
      <c r="H21" s="6">
        <f>IF(B21="","",SUMIF('Chấm công'!$B$2:$B$500,B21,'Chấm công'!$J$2:$J$500))</f>
        <v/>
      </c>
      <c r="I21" s="6">
        <f>IFERROR(INDEX('Danh sách NV'!$J$2:$J$500,MATCH(B21,'Danh sách NV'!$B$2:$B$500,0)),0)</f>
        <v/>
      </c>
      <c r="J21" s="7">
        <f>IF(C21="","",IFERROR(ROUND(E21/G21*H21,0),0))</f>
        <v/>
      </c>
      <c r="K21" s="7">
        <f>IF(C21="","",J21+F21)</f>
        <v/>
      </c>
      <c r="L21" s="7">
        <f>IF(C21="","",E21*10.5%)</f>
        <v/>
      </c>
      <c r="M21" s="7">
        <f>IF(C21="","",15500000+I21*6200000)</f>
        <v/>
      </c>
      <c r="N21" s="7">
        <f>IF(C21="","",MAX(0,K21-L21-M21))</f>
        <v/>
      </c>
      <c r="O21" s="7">
        <f>IF(C21="","",IF(N21&lt;=10000000,N21*5%,IF(N21&lt;=30000000,N21*10%-500000,IF(N21&lt;=60000000,N21*20%-3500000,IF(N21&lt;=100000000,N21*30%-9500000,N21*35%-14500000)))))</f>
        <v/>
      </c>
      <c r="P21" s="7">
        <f>IF(C21="","",K21-L21-O21)</f>
        <v/>
      </c>
    </row>
    <row r="22">
      <c r="A22" s="2" t="n"/>
      <c r="B22" s="3" t="n"/>
      <c r="C22" s="8">
        <f>IFERROR(INDEX('Danh sách NV'!$C$2:$C$500,MATCH(B22,'Danh sách NV'!$B$2:$B$500,0)),"")</f>
        <v/>
      </c>
      <c r="D22" s="8">
        <f>IFERROR(INDEX('Danh sách NV'!$D$2:$D$500,MATCH(B22,'Danh sách NV'!$B$2:$B$500,0)),"")</f>
        <v/>
      </c>
      <c r="E22" s="7">
        <f>IFERROR(INDEX('Danh sách NV'!$H$2:$H$500,MATCH(B22,'Danh sách NV'!$B$2:$B$500,0)),0)</f>
        <v/>
      </c>
      <c r="F22" s="7">
        <f>IFERROR(INDEX('Danh sách NV'!$I$2:$I$500,MATCH(B22,'Danh sách NV'!$B$2:$B$500,0)),0)</f>
        <v/>
      </c>
      <c r="G22" s="6">
        <f>IFERROR(INDEX('Chấm công'!$E$2:$E$500,MATCH(B22,'Chấm công'!$B$2:$B$500,0)),0)</f>
        <v/>
      </c>
      <c r="H22" s="6">
        <f>IF(B22="","",SUMIF('Chấm công'!$B$2:$B$500,B22,'Chấm công'!$J$2:$J$500))</f>
        <v/>
      </c>
      <c r="I22" s="6">
        <f>IFERROR(INDEX('Danh sách NV'!$J$2:$J$500,MATCH(B22,'Danh sách NV'!$B$2:$B$500,0)),0)</f>
        <v/>
      </c>
      <c r="J22" s="7">
        <f>IF(C22="","",IFERROR(ROUND(E22/G22*H22,0),0))</f>
        <v/>
      </c>
      <c r="K22" s="7">
        <f>IF(C22="","",J22+F22)</f>
        <v/>
      </c>
      <c r="L22" s="7">
        <f>IF(C22="","",E22*10.5%)</f>
        <v/>
      </c>
      <c r="M22" s="7">
        <f>IF(C22="","",15500000+I22*6200000)</f>
        <v/>
      </c>
      <c r="N22" s="7">
        <f>IF(C22="","",MAX(0,K22-L22-M22))</f>
        <v/>
      </c>
      <c r="O22" s="7">
        <f>IF(C22="","",IF(N22&lt;=10000000,N22*5%,IF(N22&lt;=30000000,N22*10%-500000,IF(N22&lt;=60000000,N22*20%-3500000,IF(N22&lt;=100000000,N22*30%-9500000,N22*35%-14500000)))))</f>
        <v/>
      </c>
      <c r="P22" s="7">
        <f>IF(C22="","",K22-L22-O22)</f>
        <v/>
      </c>
    </row>
    <row r="23">
      <c r="A23" s="2" t="n"/>
      <c r="B23" s="3" t="n"/>
      <c r="C23" s="8">
        <f>IFERROR(INDEX('Danh sách NV'!$C$2:$C$500,MATCH(B23,'Danh sách NV'!$B$2:$B$500,0)),"")</f>
        <v/>
      </c>
      <c r="D23" s="8">
        <f>IFERROR(INDEX('Danh sách NV'!$D$2:$D$500,MATCH(B23,'Danh sách NV'!$B$2:$B$500,0)),"")</f>
        <v/>
      </c>
      <c r="E23" s="7">
        <f>IFERROR(INDEX('Danh sách NV'!$H$2:$H$500,MATCH(B23,'Danh sách NV'!$B$2:$B$500,0)),0)</f>
        <v/>
      </c>
      <c r="F23" s="7">
        <f>IFERROR(INDEX('Danh sách NV'!$I$2:$I$500,MATCH(B23,'Danh sách NV'!$B$2:$B$500,0)),0)</f>
        <v/>
      </c>
      <c r="G23" s="6">
        <f>IFERROR(INDEX('Chấm công'!$E$2:$E$500,MATCH(B23,'Chấm công'!$B$2:$B$500,0)),0)</f>
        <v/>
      </c>
      <c r="H23" s="6">
        <f>IF(B23="","",SUMIF('Chấm công'!$B$2:$B$500,B23,'Chấm công'!$J$2:$J$500))</f>
        <v/>
      </c>
      <c r="I23" s="6">
        <f>IFERROR(INDEX('Danh sách NV'!$J$2:$J$500,MATCH(B23,'Danh sách NV'!$B$2:$B$500,0)),0)</f>
        <v/>
      </c>
      <c r="J23" s="7">
        <f>IF(C23="","",IFERROR(ROUND(E23/G23*H23,0),0))</f>
        <v/>
      </c>
      <c r="K23" s="7">
        <f>IF(C23="","",J23+F23)</f>
        <v/>
      </c>
      <c r="L23" s="7">
        <f>IF(C23="","",E23*10.5%)</f>
        <v/>
      </c>
      <c r="M23" s="7">
        <f>IF(C23="","",15500000+I23*6200000)</f>
        <v/>
      </c>
      <c r="N23" s="7">
        <f>IF(C23="","",MAX(0,K23-L23-M23))</f>
        <v/>
      </c>
      <c r="O23" s="7">
        <f>IF(C23="","",IF(N23&lt;=10000000,N23*5%,IF(N23&lt;=30000000,N23*10%-500000,IF(N23&lt;=60000000,N23*20%-3500000,IF(N23&lt;=100000000,N23*30%-9500000,N23*35%-14500000)))))</f>
        <v/>
      </c>
      <c r="P23" s="7">
        <f>IF(C23="","",K23-L23-O23)</f>
        <v/>
      </c>
    </row>
    <row r="24">
      <c r="A24" s="2" t="n"/>
      <c r="B24" s="3" t="n"/>
      <c r="C24" s="8">
        <f>IFERROR(INDEX('Danh sách NV'!$C$2:$C$500,MATCH(B24,'Danh sách NV'!$B$2:$B$500,0)),"")</f>
        <v/>
      </c>
      <c r="D24" s="8">
        <f>IFERROR(INDEX('Danh sách NV'!$D$2:$D$500,MATCH(B24,'Danh sách NV'!$B$2:$B$500,0)),"")</f>
        <v/>
      </c>
      <c r="E24" s="7">
        <f>IFERROR(INDEX('Danh sách NV'!$H$2:$H$500,MATCH(B24,'Danh sách NV'!$B$2:$B$500,0)),0)</f>
        <v/>
      </c>
      <c r="F24" s="7">
        <f>IFERROR(INDEX('Danh sách NV'!$I$2:$I$500,MATCH(B24,'Danh sách NV'!$B$2:$B$500,0)),0)</f>
        <v/>
      </c>
      <c r="G24" s="6">
        <f>IFERROR(INDEX('Chấm công'!$E$2:$E$500,MATCH(B24,'Chấm công'!$B$2:$B$500,0)),0)</f>
        <v/>
      </c>
      <c r="H24" s="6">
        <f>IF(B24="","",SUMIF('Chấm công'!$B$2:$B$500,B24,'Chấm công'!$J$2:$J$500))</f>
        <v/>
      </c>
      <c r="I24" s="6">
        <f>IFERROR(INDEX('Danh sách NV'!$J$2:$J$500,MATCH(B24,'Danh sách NV'!$B$2:$B$500,0)),0)</f>
        <v/>
      </c>
      <c r="J24" s="7">
        <f>IF(C24="","",IFERROR(ROUND(E24/G24*H24,0),0))</f>
        <v/>
      </c>
      <c r="K24" s="7">
        <f>IF(C24="","",J24+F24)</f>
        <v/>
      </c>
      <c r="L24" s="7">
        <f>IF(C24="","",E24*10.5%)</f>
        <v/>
      </c>
      <c r="M24" s="7">
        <f>IF(C24="","",15500000+I24*6200000)</f>
        <v/>
      </c>
      <c r="N24" s="7">
        <f>IF(C24="","",MAX(0,K24-L24-M24))</f>
        <v/>
      </c>
      <c r="O24" s="7">
        <f>IF(C24="","",IF(N24&lt;=10000000,N24*5%,IF(N24&lt;=30000000,N24*10%-500000,IF(N24&lt;=60000000,N24*20%-3500000,IF(N24&lt;=100000000,N24*30%-9500000,N24*35%-14500000)))))</f>
        <v/>
      </c>
      <c r="P24" s="7">
        <f>IF(C24="","",K24-L24-O24)</f>
        <v/>
      </c>
    </row>
    <row r="25">
      <c r="A25" s="2" t="n"/>
      <c r="B25" s="3" t="n"/>
      <c r="C25" s="8">
        <f>IFERROR(INDEX('Danh sách NV'!$C$2:$C$500,MATCH(B25,'Danh sách NV'!$B$2:$B$500,0)),"")</f>
        <v/>
      </c>
      <c r="D25" s="8">
        <f>IFERROR(INDEX('Danh sách NV'!$D$2:$D$500,MATCH(B25,'Danh sách NV'!$B$2:$B$500,0)),"")</f>
        <v/>
      </c>
      <c r="E25" s="7">
        <f>IFERROR(INDEX('Danh sách NV'!$H$2:$H$500,MATCH(B25,'Danh sách NV'!$B$2:$B$500,0)),0)</f>
        <v/>
      </c>
      <c r="F25" s="7">
        <f>IFERROR(INDEX('Danh sách NV'!$I$2:$I$500,MATCH(B25,'Danh sách NV'!$B$2:$B$500,0)),0)</f>
        <v/>
      </c>
      <c r="G25" s="6">
        <f>IFERROR(INDEX('Chấm công'!$E$2:$E$500,MATCH(B25,'Chấm công'!$B$2:$B$500,0)),0)</f>
        <v/>
      </c>
      <c r="H25" s="6">
        <f>IF(B25="","",SUMIF('Chấm công'!$B$2:$B$500,B25,'Chấm công'!$J$2:$J$500))</f>
        <v/>
      </c>
      <c r="I25" s="6">
        <f>IFERROR(INDEX('Danh sách NV'!$J$2:$J$500,MATCH(B25,'Danh sách NV'!$B$2:$B$500,0)),0)</f>
        <v/>
      </c>
      <c r="J25" s="7">
        <f>IF(C25="","",IFERROR(ROUND(E25/G25*H25,0),0))</f>
        <v/>
      </c>
      <c r="K25" s="7">
        <f>IF(C25="","",J25+F25)</f>
        <v/>
      </c>
      <c r="L25" s="7">
        <f>IF(C25="","",E25*10.5%)</f>
        <v/>
      </c>
      <c r="M25" s="7">
        <f>IF(C25="","",15500000+I25*6200000)</f>
        <v/>
      </c>
      <c r="N25" s="7">
        <f>IF(C25="","",MAX(0,K25-L25-M25))</f>
        <v/>
      </c>
      <c r="O25" s="7">
        <f>IF(C25="","",IF(N25&lt;=10000000,N25*5%,IF(N25&lt;=30000000,N25*10%-500000,IF(N25&lt;=60000000,N25*20%-3500000,IF(N25&lt;=100000000,N25*30%-9500000,N25*35%-14500000)))))</f>
        <v/>
      </c>
      <c r="P25" s="7">
        <f>IF(C25="","",K25-L25-O25)</f>
        <v/>
      </c>
    </row>
  </sheetData>
  <autoFilter ref="A1:P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4" customWidth="1" min="3" max="3"/>
    <col width="12" customWidth="1" min="4" max="4"/>
    <col width="18" customWidth="1" min="5" max="5"/>
    <col width="20" customWidth="1" min="6" max="6"/>
    <col width="14" customWidth="1" min="7" max="7"/>
    <col width="18" customWidth="1" min="8" max="8"/>
    <col width="20" customWidth="1" min="9" max="9"/>
    <col width="16" customWidth="1" min="10" max="10"/>
  </cols>
  <sheetData>
    <row r="1" ht="32" customHeight="1">
      <c r="A1" s="1" t="inlineStr">
        <is>
          <t>STT</t>
        </is>
      </c>
      <c r="B1" s="1" t="inlineStr">
        <is>
          <t>Bộ phận</t>
        </is>
      </c>
      <c r="C1" s="1" t="inlineStr">
        <is>
          <t>Số nhân viên</t>
        </is>
      </c>
      <c r="D1" s="1" t="inlineStr">
        <is>
          <t>Công chuẩn</t>
        </is>
      </c>
      <c r="E1" s="1" t="inlineStr">
        <is>
          <t>Tổng công thực tế</t>
        </is>
      </c>
      <c r="F1" s="1" t="inlineStr">
        <is>
          <t>Quỹ lương thực chi</t>
        </is>
      </c>
      <c r="G1" s="1" t="inlineStr">
        <is>
          <t>Tỷ lệ đi làm</t>
        </is>
      </c>
      <c r="H1" s="1" t="inlineStr">
        <is>
          <t>Lương bình quân</t>
        </is>
      </c>
      <c r="I1" s="1" t="inlineStr">
        <is>
          <t>Chi phí mỗi ngày công</t>
        </is>
      </c>
      <c r="J1" s="1" t="inlineStr">
        <is>
          <t>Cảnh báo</t>
        </is>
      </c>
    </row>
    <row r="2">
      <c r="A2" s="2" t="n">
        <v>1</v>
      </c>
      <c r="B2" s="3" t="inlineStr">
        <is>
          <t>Kinh doanh</t>
        </is>
      </c>
      <c r="C2" s="6">
        <f>IF(B2="","",COUNTIFS('Danh sách NV'!$D$2:$D$500,B2,'Danh sách NV'!$K$2:$K$500,"Đang làm"))</f>
        <v/>
      </c>
      <c r="D2" s="6">
        <f>IF(B2="","",IFERROR(SUMIF('Chấm công'!$D$2:$D$500,B2,'Chấm công'!$E$2:$E$500)/COUNTIF('Chấm công'!$D$2:$D$500,B2),0))</f>
        <v/>
      </c>
      <c r="E2" s="6">
        <f>IF(B2="","",SUMIF('Chấm công'!$D$2:$D$500,B2,'Chấm công'!$J$2:$J$500))</f>
        <v/>
      </c>
      <c r="F2" s="7">
        <f>IF(B2="","",SUMIF('Bảng lương'!$D$2:$D$500,B2,'Bảng lương'!$P$2:$P$500))</f>
        <v/>
      </c>
      <c r="G2" s="9">
        <f>IF(B2="","",IFERROR(E2/(C2*D2),0))</f>
        <v/>
      </c>
      <c r="H2" s="7">
        <f>IF(B2="","",IFERROR(F2/C2,0))</f>
        <v/>
      </c>
      <c r="I2" s="7">
        <f>IF(B2="","",IFERROR(F2/E2,0))</f>
        <v/>
      </c>
      <c r="J2" s="6">
        <f>IF(B2="","",IF(C2=0,"Không có NV",IF(G2&gt;=0.95,"Đạt",IF(G2&gt;=0.9,"Theo dõi","Cần xem lại"))))</f>
        <v/>
      </c>
    </row>
    <row r="3">
      <c r="A3" s="2" t="n">
        <v>2</v>
      </c>
      <c r="B3" s="3" t="inlineStr">
        <is>
          <t>Kế toán</t>
        </is>
      </c>
      <c r="C3" s="6">
        <f>IF(B3="","",COUNTIFS('Danh sách NV'!$D$2:$D$500,B3,'Danh sách NV'!$K$2:$K$500,"Đang làm"))</f>
        <v/>
      </c>
      <c r="D3" s="6">
        <f>IF(B3="","",IFERROR(SUMIF('Chấm công'!$D$2:$D$500,B3,'Chấm công'!$E$2:$E$500)/COUNTIF('Chấm công'!$D$2:$D$500,B3),0))</f>
        <v/>
      </c>
      <c r="E3" s="6">
        <f>IF(B3="","",SUMIF('Chấm công'!$D$2:$D$500,B3,'Chấm công'!$J$2:$J$500))</f>
        <v/>
      </c>
      <c r="F3" s="7">
        <f>IF(B3="","",SUMIF('Bảng lương'!$D$2:$D$500,B3,'Bảng lương'!$P$2:$P$500))</f>
        <v/>
      </c>
      <c r="G3" s="9">
        <f>IF(B3="","",IFERROR(E3/(C3*D3),0))</f>
        <v/>
      </c>
      <c r="H3" s="7">
        <f>IF(B3="","",IFERROR(F3/C3,0))</f>
        <v/>
      </c>
      <c r="I3" s="7">
        <f>IF(B3="","",IFERROR(F3/E3,0))</f>
        <v/>
      </c>
      <c r="J3" s="6">
        <f>IF(B3="","",IF(C3=0,"Không có NV",IF(G3&gt;=0.95,"Đạt",IF(G3&gt;=0.9,"Theo dõi","Cần xem lại"))))</f>
        <v/>
      </c>
    </row>
    <row r="4">
      <c r="A4" s="2" t="n">
        <v>3</v>
      </c>
      <c r="B4" s="3" t="inlineStr">
        <is>
          <t>Nhân sự</t>
        </is>
      </c>
      <c r="C4" s="6">
        <f>IF(B4="","",COUNTIFS('Danh sách NV'!$D$2:$D$500,B4,'Danh sách NV'!$K$2:$K$500,"Đang làm"))</f>
        <v/>
      </c>
      <c r="D4" s="6">
        <f>IF(B4="","",IFERROR(SUMIF('Chấm công'!$D$2:$D$500,B4,'Chấm công'!$E$2:$E$500)/COUNTIF('Chấm công'!$D$2:$D$500,B4),0))</f>
        <v/>
      </c>
      <c r="E4" s="6">
        <f>IF(B4="","",SUMIF('Chấm công'!$D$2:$D$500,B4,'Chấm công'!$J$2:$J$500))</f>
        <v/>
      </c>
      <c r="F4" s="7">
        <f>IF(B4="","",SUMIF('Bảng lương'!$D$2:$D$500,B4,'Bảng lương'!$P$2:$P$500))</f>
        <v/>
      </c>
      <c r="G4" s="9">
        <f>IF(B4="","",IFERROR(E4/(C4*D4),0))</f>
        <v/>
      </c>
      <c r="H4" s="7">
        <f>IF(B4="","",IFERROR(F4/C4,0))</f>
        <v/>
      </c>
      <c r="I4" s="7">
        <f>IF(B4="","",IFERROR(F4/E4,0))</f>
        <v/>
      </c>
      <c r="J4" s="6">
        <f>IF(B4="","",IF(C4=0,"Không có NV",IF(G4&gt;=0.95,"Đạt",IF(G4&gt;=0.9,"Theo dõi","Cần xem lại"))))</f>
        <v/>
      </c>
    </row>
    <row r="5">
      <c r="A5" s="2" t="n">
        <v>4</v>
      </c>
      <c r="B5" s="3" t="inlineStr">
        <is>
          <t>Kỹ thuật</t>
        </is>
      </c>
      <c r="C5" s="6">
        <f>IF(B5="","",COUNTIFS('Danh sách NV'!$D$2:$D$500,B5,'Danh sách NV'!$K$2:$K$500,"Đang làm"))</f>
        <v/>
      </c>
      <c r="D5" s="6">
        <f>IF(B5="","",IFERROR(SUMIF('Chấm công'!$D$2:$D$500,B5,'Chấm công'!$E$2:$E$500)/COUNTIF('Chấm công'!$D$2:$D$500,B5),0))</f>
        <v/>
      </c>
      <c r="E5" s="6">
        <f>IF(B5="","",SUMIF('Chấm công'!$D$2:$D$500,B5,'Chấm công'!$J$2:$J$500))</f>
        <v/>
      </c>
      <c r="F5" s="7">
        <f>IF(B5="","",SUMIF('Bảng lương'!$D$2:$D$500,B5,'Bảng lương'!$P$2:$P$500))</f>
        <v/>
      </c>
      <c r="G5" s="9">
        <f>IF(B5="","",IFERROR(E5/(C5*D5),0))</f>
        <v/>
      </c>
      <c r="H5" s="7">
        <f>IF(B5="","",IFERROR(F5/C5,0))</f>
        <v/>
      </c>
      <c r="I5" s="7">
        <f>IF(B5="","",IFERROR(F5/E5,0))</f>
        <v/>
      </c>
      <c r="J5" s="6">
        <f>IF(B5="","",IF(C5=0,"Không có NV",IF(G5&gt;=0.95,"Đạt",IF(G5&gt;=0.9,"Theo dõi","Cần xem lại"))))</f>
        <v/>
      </c>
    </row>
    <row r="6">
      <c r="A6" s="2" t="n">
        <v>5</v>
      </c>
      <c r="B6" s="3" t="inlineStr">
        <is>
          <t>Kho vận</t>
        </is>
      </c>
      <c r="C6" s="6">
        <f>IF(B6="","",COUNTIFS('Danh sách NV'!$D$2:$D$500,B6,'Danh sách NV'!$K$2:$K$500,"Đang làm"))</f>
        <v/>
      </c>
      <c r="D6" s="6">
        <f>IF(B6="","",IFERROR(SUMIF('Chấm công'!$D$2:$D$500,B6,'Chấm công'!$E$2:$E$500)/COUNTIF('Chấm công'!$D$2:$D$500,B6),0))</f>
        <v/>
      </c>
      <c r="E6" s="6">
        <f>IF(B6="","",SUMIF('Chấm công'!$D$2:$D$500,B6,'Chấm công'!$J$2:$J$500))</f>
        <v/>
      </c>
      <c r="F6" s="7">
        <f>IF(B6="","",SUMIF('Bảng lương'!$D$2:$D$500,B6,'Bảng lương'!$P$2:$P$500))</f>
        <v/>
      </c>
      <c r="G6" s="9">
        <f>IF(B6="","",IFERROR(E6/(C6*D6),0))</f>
        <v/>
      </c>
      <c r="H6" s="7">
        <f>IF(B6="","",IFERROR(F6/C6,0))</f>
        <v/>
      </c>
      <c r="I6" s="7">
        <f>IF(B6="","",IFERROR(F6/E6,0))</f>
        <v/>
      </c>
      <c r="J6" s="6">
        <f>IF(B6="","",IF(C6=0,"Không có NV",IF(G6&gt;=0.95,"Đạt",IF(G6&gt;=0.9,"Theo dõi","Cần xem lại"))))</f>
        <v/>
      </c>
    </row>
    <row r="7">
      <c r="A7" s="2" t="n"/>
      <c r="B7" s="3" t="n"/>
      <c r="C7" s="6">
        <f>IF(B7="","",COUNTIFS('Danh sách NV'!$D$2:$D$500,B7,'Danh sách NV'!$K$2:$K$500,"Đang làm"))</f>
        <v/>
      </c>
      <c r="D7" s="6">
        <f>IF(B7="","",IFERROR(SUMIF('Chấm công'!$D$2:$D$500,B7,'Chấm công'!$E$2:$E$500)/COUNTIF('Chấm công'!$D$2:$D$500,B7),0))</f>
        <v/>
      </c>
      <c r="E7" s="6">
        <f>IF(B7="","",SUMIF('Chấm công'!$D$2:$D$500,B7,'Chấm công'!$J$2:$J$500))</f>
        <v/>
      </c>
      <c r="F7" s="7">
        <f>IF(B7="","",SUMIF('Bảng lương'!$D$2:$D$500,B7,'Bảng lương'!$P$2:$P$500))</f>
        <v/>
      </c>
      <c r="G7" s="9">
        <f>IF(B7="","",IFERROR(E7/(C7*D7),0))</f>
        <v/>
      </c>
      <c r="H7" s="7">
        <f>IF(B7="","",IFERROR(F7/C7,0))</f>
        <v/>
      </c>
      <c r="I7" s="7">
        <f>IF(B7="","",IFERROR(F7/E7,0))</f>
        <v/>
      </c>
      <c r="J7" s="6">
        <f>IF(B7="","",IF(C7=0,"Không có NV",IF(G7&gt;=0.95,"Đạt",IF(G7&gt;=0.9,"Theo dõi","Cần xem lại"))))</f>
        <v/>
      </c>
    </row>
    <row r="8">
      <c r="A8" s="2" t="n"/>
      <c r="B8" s="3" t="n"/>
      <c r="C8" s="6">
        <f>IF(B8="","",COUNTIFS('Danh sách NV'!$D$2:$D$500,B8,'Danh sách NV'!$K$2:$K$500,"Đang làm"))</f>
        <v/>
      </c>
      <c r="D8" s="6">
        <f>IF(B8="","",IFERROR(SUMIF('Chấm công'!$D$2:$D$500,B8,'Chấm công'!$E$2:$E$500)/COUNTIF('Chấm công'!$D$2:$D$500,B8),0))</f>
        <v/>
      </c>
      <c r="E8" s="6">
        <f>IF(B8="","",SUMIF('Chấm công'!$D$2:$D$500,B8,'Chấm công'!$J$2:$J$500))</f>
        <v/>
      </c>
      <c r="F8" s="7">
        <f>IF(B8="","",SUMIF('Bảng lương'!$D$2:$D$500,B8,'Bảng lương'!$P$2:$P$500))</f>
        <v/>
      </c>
      <c r="G8" s="9">
        <f>IF(B8="","",IFERROR(E8/(C8*D8),0))</f>
        <v/>
      </c>
      <c r="H8" s="7">
        <f>IF(B8="","",IFERROR(F8/C8,0))</f>
        <v/>
      </c>
      <c r="I8" s="7">
        <f>IF(B8="","",IFERROR(F8/E8,0))</f>
        <v/>
      </c>
      <c r="J8" s="6">
        <f>IF(B8="","",IF(C8=0,"Không có NV",IF(G8&gt;=0.95,"Đạt",IF(G8&gt;=0.9,"Theo dõi","Cần xem lại"))))</f>
        <v/>
      </c>
    </row>
    <row r="9">
      <c r="A9" s="2" t="n"/>
      <c r="B9" s="3" t="n"/>
      <c r="C9" s="6">
        <f>IF(B9="","",COUNTIFS('Danh sách NV'!$D$2:$D$500,B9,'Danh sách NV'!$K$2:$K$500,"Đang làm"))</f>
        <v/>
      </c>
      <c r="D9" s="6">
        <f>IF(B9="","",IFERROR(SUMIF('Chấm công'!$D$2:$D$500,B9,'Chấm công'!$E$2:$E$500)/COUNTIF('Chấm công'!$D$2:$D$500,B9),0))</f>
        <v/>
      </c>
      <c r="E9" s="6">
        <f>IF(B9="","",SUMIF('Chấm công'!$D$2:$D$500,B9,'Chấm công'!$J$2:$J$500))</f>
        <v/>
      </c>
      <c r="F9" s="7">
        <f>IF(B9="","",SUMIF('Bảng lương'!$D$2:$D$500,B9,'Bảng lương'!$P$2:$P$500))</f>
        <v/>
      </c>
      <c r="G9" s="9">
        <f>IF(B9="","",IFERROR(E9/(C9*D9),0))</f>
        <v/>
      </c>
      <c r="H9" s="7">
        <f>IF(B9="","",IFERROR(F9/C9,0))</f>
        <v/>
      </c>
      <c r="I9" s="7">
        <f>IF(B9="","",IFERROR(F9/E9,0))</f>
        <v/>
      </c>
      <c r="J9" s="6">
        <f>IF(B9="","",IF(C9=0,"Không có NV",IF(G9&gt;=0.95,"Đạt",IF(G9&gt;=0.9,"Theo dõi","Cần xem lại"))))</f>
        <v/>
      </c>
    </row>
    <row r="10">
      <c r="A10" s="2" t="n"/>
      <c r="B10" s="3" t="n"/>
      <c r="C10" s="6">
        <f>IF(B10="","",COUNTIFS('Danh sách NV'!$D$2:$D$500,B10,'Danh sách NV'!$K$2:$K$500,"Đang làm"))</f>
        <v/>
      </c>
      <c r="D10" s="6">
        <f>IF(B10="","",IFERROR(SUMIF('Chấm công'!$D$2:$D$500,B10,'Chấm công'!$E$2:$E$500)/COUNTIF('Chấm công'!$D$2:$D$500,B10),0))</f>
        <v/>
      </c>
      <c r="E10" s="6">
        <f>IF(B10="","",SUMIF('Chấm công'!$D$2:$D$500,B10,'Chấm công'!$J$2:$J$500))</f>
        <v/>
      </c>
      <c r="F10" s="7">
        <f>IF(B10="","",SUMIF('Bảng lương'!$D$2:$D$500,B10,'Bảng lương'!$P$2:$P$500))</f>
        <v/>
      </c>
      <c r="G10" s="9">
        <f>IF(B10="","",IFERROR(E10/(C10*D10),0))</f>
        <v/>
      </c>
      <c r="H10" s="7">
        <f>IF(B10="","",IFERROR(F10/C10,0))</f>
        <v/>
      </c>
      <c r="I10" s="7">
        <f>IF(B10="","",IFERROR(F10/E10,0))</f>
        <v/>
      </c>
      <c r="J10" s="6">
        <f>IF(B10="","",IF(C10=0,"Không có NV",IF(G10&gt;=0.95,"Đạt",IF(G10&gt;=0.9,"Theo dõi","Cần xem lại"))))</f>
        <v/>
      </c>
    </row>
    <row r="11">
      <c r="A11" s="2" t="n"/>
      <c r="B11" s="3" t="n"/>
      <c r="C11" s="6">
        <f>IF(B11="","",COUNTIFS('Danh sách NV'!$D$2:$D$500,B11,'Danh sách NV'!$K$2:$K$500,"Đang làm"))</f>
        <v/>
      </c>
      <c r="D11" s="6">
        <f>IF(B11="","",IFERROR(SUMIF('Chấm công'!$D$2:$D$500,B11,'Chấm công'!$E$2:$E$500)/COUNTIF('Chấm công'!$D$2:$D$500,B11),0))</f>
        <v/>
      </c>
      <c r="E11" s="6">
        <f>IF(B11="","",SUMIF('Chấm công'!$D$2:$D$500,B11,'Chấm công'!$J$2:$J$500))</f>
        <v/>
      </c>
      <c r="F11" s="7">
        <f>IF(B11="","",SUMIF('Bảng lương'!$D$2:$D$500,B11,'Bảng lương'!$P$2:$P$500))</f>
        <v/>
      </c>
      <c r="G11" s="9">
        <f>IF(B11="","",IFERROR(E11/(C11*D11),0))</f>
        <v/>
      </c>
      <c r="H11" s="7">
        <f>IF(B11="","",IFERROR(F11/C11,0))</f>
        <v/>
      </c>
      <c r="I11" s="7">
        <f>IF(B11="","",IFERROR(F11/E11,0))</f>
        <v/>
      </c>
      <c r="J11" s="6">
        <f>IF(B11="","",IF(C11=0,"Không có NV",IF(G11&gt;=0.95,"Đạt",IF(G11&gt;=0.9,"Theo dõi","Cần xem lại"))))</f>
        <v/>
      </c>
    </row>
    <row r="12">
      <c r="A12" s="2" t="n"/>
      <c r="B12" s="3" t="n"/>
      <c r="C12" s="6">
        <f>IF(B12="","",COUNTIFS('Danh sách NV'!$D$2:$D$500,B12,'Danh sách NV'!$K$2:$K$500,"Đang làm"))</f>
        <v/>
      </c>
      <c r="D12" s="6">
        <f>IF(B12="","",IFERROR(SUMIF('Chấm công'!$D$2:$D$500,B12,'Chấm công'!$E$2:$E$500)/COUNTIF('Chấm công'!$D$2:$D$500,B12),0))</f>
        <v/>
      </c>
      <c r="E12" s="6">
        <f>IF(B12="","",SUMIF('Chấm công'!$D$2:$D$500,B12,'Chấm công'!$J$2:$J$500))</f>
        <v/>
      </c>
      <c r="F12" s="7">
        <f>IF(B12="","",SUMIF('Bảng lương'!$D$2:$D$500,B12,'Bảng lương'!$P$2:$P$500))</f>
        <v/>
      </c>
      <c r="G12" s="9">
        <f>IF(B12="","",IFERROR(E12/(C12*D12),0))</f>
        <v/>
      </c>
      <c r="H12" s="7">
        <f>IF(B12="","",IFERROR(F12/C12,0))</f>
        <v/>
      </c>
      <c r="I12" s="7">
        <f>IF(B12="","",IFERROR(F12/E12,0))</f>
        <v/>
      </c>
      <c r="J12" s="6">
        <f>IF(B12="","",IF(C12=0,"Không có NV",IF(G12&gt;=0.95,"Đạt",IF(G12&gt;=0.9,"Theo dõi","Cần xem lại"))))</f>
        <v/>
      </c>
    </row>
    <row r="13">
      <c r="A13" s="2" t="n"/>
      <c r="B13" s="3" t="n"/>
      <c r="C13" s="6">
        <f>IF(B13="","",COUNTIFS('Danh sách NV'!$D$2:$D$500,B13,'Danh sách NV'!$K$2:$K$500,"Đang làm"))</f>
        <v/>
      </c>
      <c r="D13" s="6">
        <f>IF(B13="","",IFERROR(SUMIF('Chấm công'!$D$2:$D$500,B13,'Chấm công'!$E$2:$E$500)/COUNTIF('Chấm công'!$D$2:$D$500,B13),0))</f>
        <v/>
      </c>
      <c r="E13" s="6">
        <f>IF(B13="","",SUMIF('Chấm công'!$D$2:$D$500,B13,'Chấm công'!$J$2:$J$500))</f>
        <v/>
      </c>
      <c r="F13" s="7">
        <f>IF(B13="","",SUMIF('Bảng lương'!$D$2:$D$500,B13,'Bảng lương'!$P$2:$P$500))</f>
        <v/>
      </c>
      <c r="G13" s="9">
        <f>IF(B13="","",IFERROR(E13/(C13*D13),0))</f>
        <v/>
      </c>
      <c r="H13" s="7">
        <f>IF(B13="","",IFERROR(F13/C13,0))</f>
        <v/>
      </c>
      <c r="I13" s="7">
        <f>IF(B13="","",IFERROR(F13/E13,0))</f>
        <v/>
      </c>
      <c r="J13" s="6">
        <f>IF(B13="","",IF(C13=0,"Không có NV",IF(G13&gt;=0.95,"Đạt",IF(G13&gt;=0.9,"Theo dõi","Cần xem lại"))))</f>
        <v/>
      </c>
    </row>
    <row r="14">
      <c r="A14" s="2" t="n"/>
      <c r="B14" s="3" t="n"/>
      <c r="C14" s="6">
        <f>IF(B14="","",COUNTIFS('Danh sách NV'!$D$2:$D$500,B14,'Danh sách NV'!$K$2:$K$500,"Đang làm"))</f>
        <v/>
      </c>
      <c r="D14" s="6">
        <f>IF(B14="","",IFERROR(SUMIF('Chấm công'!$D$2:$D$500,B14,'Chấm công'!$E$2:$E$500)/COUNTIF('Chấm công'!$D$2:$D$500,B14),0))</f>
        <v/>
      </c>
      <c r="E14" s="6">
        <f>IF(B14="","",SUMIF('Chấm công'!$D$2:$D$500,B14,'Chấm công'!$J$2:$J$500))</f>
        <v/>
      </c>
      <c r="F14" s="7">
        <f>IF(B14="","",SUMIF('Bảng lương'!$D$2:$D$500,B14,'Bảng lương'!$P$2:$P$500))</f>
        <v/>
      </c>
      <c r="G14" s="9">
        <f>IF(B14="","",IFERROR(E14/(C14*D14),0))</f>
        <v/>
      </c>
      <c r="H14" s="7">
        <f>IF(B14="","",IFERROR(F14/C14,0))</f>
        <v/>
      </c>
      <c r="I14" s="7">
        <f>IF(B14="","",IFERROR(F14/E14,0))</f>
        <v/>
      </c>
      <c r="J14" s="6">
        <f>IF(B14="","",IF(C14=0,"Không có NV",IF(G14&gt;=0.95,"Đạt",IF(G14&gt;=0.9,"Theo dõi","Cần xem lại"))))</f>
        <v/>
      </c>
    </row>
    <row r="15">
      <c r="A15" s="2" t="n"/>
      <c r="B15" s="3" t="n"/>
      <c r="C15" s="6">
        <f>IF(B15="","",COUNTIFS('Danh sách NV'!$D$2:$D$500,B15,'Danh sách NV'!$K$2:$K$500,"Đang làm"))</f>
        <v/>
      </c>
      <c r="D15" s="6">
        <f>IF(B15="","",IFERROR(SUMIF('Chấm công'!$D$2:$D$500,B15,'Chấm công'!$E$2:$E$500)/COUNTIF('Chấm công'!$D$2:$D$500,B15),0))</f>
        <v/>
      </c>
      <c r="E15" s="6">
        <f>IF(B15="","",SUMIF('Chấm công'!$D$2:$D$500,B15,'Chấm công'!$J$2:$J$500))</f>
        <v/>
      </c>
      <c r="F15" s="7">
        <f>IF(B15="","",SUMIF('Bảng lương'!$D$2:$D$500,B15,'Bảng lương'!$P$2:$P$500))</f>
        <v/>
      </c>
      <c r="G15" s="9">
        <f>IF(B15="","",IFERROR(E15/(C15*D15),0))</f>
        <v/>
      </c>
      <c r="H15" s="7">
        <f>IF(B15="","",IFERROR(F15/C15,0))</f>
        <v/>
      </c>
      <c r="I15" s="7">
        <f>IF(B15="","",IFERROR(F15/E15,0))</f>
        <v/>
      </c>
      <c r="J15" s="6">
        <f>IF(B15="","",IF(C15=0,"Không có NV",IF(G15&gt;=0.95,"Đạt",IF(G15&gt;=0.9,"Theo dõi","Cần xem lại"))))</f>
        <v/>
      </c>
    </row>
    <row r="16">
      <c r="A16" s="2" t="n"/>
      <c r="B16" s="3" t="n"/>
      <c r="C16" s="6">
        <f>IF(B16="","",COUNTIFS('Danh sách NV'!$D$2:$D$500,B16,'Danh sách NV'!$K$2:$K$500,"Đang làm"))</f>
        <v/>
      </c>
      <c r="D16" s="6">
        <f>IF(B16="","",IFERROR(SUMIF('Chấm công'!$D$2:$D$500,B16,'Chấm công'!$E$2:$E$500)/COUNTIF('Chấm công'!$D$2:$D$500,B16),0))</f>
        <v/>
      </c>
      <c r="E16" s="6">
        <f>IF(B16="","",SUMIF('Chấm công'!$D$2:$D$500,B16,'Chấm công'!$J$2:$J$500))</f>
        <v/>
      </c>
      <c r="F16" s="7">
        <f>IF(B16="","",SUMIF('Bảng lương'!$D$2:$D$500,B16,'Bảng lương'!$P$2:$P$500))</f>
        <v/>
      </c>
      <c r="G16" s="9">
        <f>IF(B16="","",IFERROR(E16/(C16*D16),0))</f>
        <v/>
      </c>
      <c r="H16" s="7">
        <f>IF(B16="","",IFERROR(F16/C16,0))</f>
        <v/>
      </c>
      <c r="I16" s="7">
        <f>IF(B16="","",IFERROR(F16/E16,0))</f>
        <v/>
      </c>
      <c r="J16" s="6">
        <f>IF(B16="","",IF(C16=0,"Không có NV",IF(G16&gt;=0.95,"Đạt",IF(G16&gt;=0.9,"Theo dõi","Cần xem lại"))))</f>
        <v/>
      </c>
    </row>
    <row r="17">
      <c r="A17" s="2" t="n"/>
      <c r="B17" s="3" t="n"/>
      <c r="C17" s="6">
        <f>IF(B17="","",COUNTIFS('Danh sách NV'!$D$2:$D$500,B17,'Danh sách NV'!$K$2:$K$500,"Đang làm"))</f>
        <v/>
      </c>
      <c r="D17" s="6">
        <f>IF(B17="","",IFERROR(SUMIF('Chấm công'!$D$2:$D$500,B17,'Chấm công'!$E$2:$E$500)/COUNTIF('Chấm công'!$D$2:$D$500,B17),0))</f>
        <v/>
      </c>
      <c r="E17" s="6">
        <f>IF(B17="","",SUMIF('Chấm công'!$D$2:$D$500,B17,'Chấm công'!$J$2:$J$500))</f>
        <v/>
      </c>
      <c r="F17" s="7">
        <f>IF(B17="","",SUMIF('Bảng lương'!$D$2:$D$500,B17,'Bảng lương'!$P$2:$P$500))</f>
        <v/>
      </c>
      <c r="G17" s="9">
        <f>IF(B17="","",IFERROR(E17/(C17*D17),0))</f>
        <v/>
      </c>
      <c r="H17" s="7">
        <f>IF(B17="","",IFERROR(F17/C17,0))</f>
        <v/>
      </c>
      <c r="I17" s="7">
        <f>IF(B17="","",IFERROR(F17/E17,0))</f>
        <v/>
      </c>
      <c r="J17" s="6">
        <f>IF(B17="","",IF(C17=0,"Không có NV",IF(G17&gt;=0.95,"Đạt",IF(G17&gt;=0.9,"Theo dõi","Cần xem lại"))))</f>
        <v/>
      </c>
    </row>
    <row r="18">
      <c r="A18" s="2" t="n"/>
      <c r="B18" s="3" t="n"/>
      <c r="C18" s="6">
        <f>IF(B18="","",COUNTIFS('Danh sách NV'!$D$2:$D$500,B18,'Danh sách NV'!$K$2:$K$500,"Đang làm"))</f>
        <v/>
      </c>
      <c r="D18" s="6">
        <f>IF(B18="","",IFERROR(SUMIF('Chấm công'!$D$2:$D$500,B18,'Chấm công'!$E$2:$E$500)/COUNTIF('Chấm công'!$D$2:$D$500,B18),0))</f>
        <v/>
      </c>
      <c r="E18" s="6">
        <f>IF(B18="","",SUMIF('Chấm công'!$D$2:$D$500,B18,'Chấm công'!$J$2:$J$500))</f>
        <v/>
      </c>
      <c r="F18" s="7">
        <f>IF(B18="","",SUMIF('Bảng lương'!$D$2:$D$500,B18,'Bảng lương'!$P$2:$P$500))</f>
        <v/>
      </c>
      <c r="G18" s="9">
        <f>IF(B18="","",IFERROR(E18/(C18*D18),0))</f>
        <v/>
      </c>
      <c r="H18" s="7">
        <f>IF(B18="","",IFERROR(F18/C18,0))</f>
        <v/>
      </c>
      <c r="I18" s="7">
        <f>IF(B18="","",IFERROR(F18/E18,0))</f>
        <v/>
      </c>
      <c r="J18" s="6">
        <f>IF(B18="","",IF(C18=0,"Không có NV",IF(G18&gt;=0.95,"Đạt",IF(G18&gt;=0.9,"Theo dõi","Cần xem lại"))))</f>
        <v/>
      </c>
    </row>
    <row r="19">
      <c r="A19" s="2" t="n"/>
      <c r="B19" s="3" t="n"/>
      <c r="C19" s="6">
        <f>IF(B19="","",COUNTIFS('Danh sách NV'!$D$2:$D$500,B19,'Danh sách NV'!$K$2:$K$500,"Đang làm"))</f>
        <v/>
      </c>
      <c r="D19" s="6">
        <f>IF(B19="","",IFERROR(SUMIF('Chấm công'!$D$2:$D$500,B19,'Chấm công'!$E$2:$E$500)/COUNTIF('Chấm công'!$D$2:$D$500,B19),0))</f>
        <v/>
      </c>
      <c r="E19" s="6">
        <f>IF(B19="","",SUMIF('Chấm công'!$D$2:$D$500,B19,'Chấm công'!$J$2:$J$500))</f>
        <v/>
      </c>
      <c r="F19" s="7">
        <f>IF(B19="","",SUMIF('Bảng lương'!$D$2:$D$500,B19,'Bảng lương'!$P$2:$P$500))</f>
        <v/>
      </c>
      <c r="G19" s="9">
        <f>IF(B19="","",IFERROR(E19/(C19*D19),0))</f>
        <v/>
      </c>
      <c r="H19" s="7">
        <f>IF(B19="","",IFERROR(F19/C19,0))</f>
        <v/>
      </c>
      <c r="I19" s="7">
        <f>IF(B19="","",IFERROR(F19/E19,0))</f>
        <v/>
      </c>
      <c r="J19" s="6">
        <f>IF(B19="","",IF(C19=0,"Không có NV",IF(G19&gt;=0.95,"Đạt",IF(G19&gt;=0.9,"Theo dõi","Cần xem lại"))))</f>
        <v/>
      </c>
    </row>
    <row r="20">
      <c r="A20" s="2" t="n"/>
      <c r="B20" s="3" t="n"/>
      <c r="C20" s="6">
        <f>IF(B20="","",COUNTIFS('Danh sách NV'!$D$2:$D$500,B20,'Danh sách NV'!$K$2:$K$500,"Đang làm"))</f>
        <v/>
      </c>
      <c r="D20" s="6">
        <f>IF(B20="","",IFERROR(SUMIF('Chấm công'!$D$2:$D$500,B20,'Chấm công'!$E$2:$E$500)/COUNTIF('Chấm công'!$D$2:$D$500,B20),0))</f>
        <v/>
      </c>
      <c r="E20" s="6">
        <f>IF(B20="","",SUMIF('Chấm công'!$D$2:$D$500,B20,'Chấm công'!$J$2:$J$500))</f>
        <v/>
      </c>
      <c r="F20" s="7">
        <f>IF(B20="","",SUMIF('Bảng lương'!$D$2:$D$500,B20,'Bảng lương'!$P$2:$P$500))</f>
        <v/>
      </c>
      <c r="G20" s="9">
        <f>IF(B20="","",IFERROR(E20/(C20*D20),0))</f>
        <v/>
      </c>
      <c r="H20" s="7">
        <f>IF(B20="","",IFERROR(F20/C20,0))</f>
        <v/>
      </c>
      <c r="I20" s="7">
        <f>IF(B20="","",IFERROR(F20/E20,0))</f>
        <v/>
      </c>
      <c r="J20" s="6">
        <f>IF(B20="","",IF(C20=0,"Không có NV",IF(G20&gt;=0.95,"Đạt",IF(G20&gt;=0.9,"Theo dõi","Cần xem lại"))))</f>
        <v/>
      </c>
    </row>
    <row r="21">
      <c r="A21" s="2" t="n"/>
      <c r="B21" s="3" t="n"/>
      <c r="C21" s="6">
        <f>IF(B21="","",COUNTIFS('Danh sách NV'!$D$2:$D$500,B21,'Danh sách NV'!$K$2:$K$500,"Đang làm"))</f>
        <v/>
      </c>
      <c r="D21" s="6">
        <f>IF(B21="","",IFERROR(SUMIF('Chấm công'!$D$2:$D$500,B21,'Chấm công'!$E$2:$E$500)/COUNTIF('Chấm công'!$D$2:$D$500,B21),0))</f>
        <v/>
      </c>
      <c r="E21" s="6">
        <f>IF(B21="","",SUMIF('Chấm công'!$D$2:$D$500,B21,'Chấm công'!$J$2:$J$500))</f>
        <v/>
      </c>
      <c r="F21" s="7">
        <f>IF(B21="","",SUMIF('Bảng lương'!$D$2:$D$500,B21,'Bảng lương'!$P$2:$P$500))</f>
        <v/>
      </c>
      <c r="G21" s="9">
        <f>IF(B21="","",IFERROR(E21/(C21*D21),0))</f>
        <v/>
      </c>
      <c r="H21" s="7">
        <f>IF(B21="","",IFERROR(F21/C21,0))</f>
        <v/>
      </c>
      <c r="I21" s="7">
        <f>IF(B21="","",IFERROR(F21/E21,0))</f>
        <v/>
      </c>
      <c r="J21" s="6">
        <f>IF(B21="","",IF(C21=0,"Không có NV",IF(G21&gt;=0.95,"Đạt",IF(G21&gt;=0.9,"Theo dõi","Cần xem lại"))))</f>
        <v/>
      </c>
    </row>
  </sheetData>
  <autoFilter ref="A1:J21"/>
  <dataValidations count="1">
    <dataValidation sqref="B2:B21" showDropDown="0" showInputMessage="0" showErrorMessage="0" allowBlank="1" errorTitle="Sai định dạng" error="Giá trị không hợp lệ cho cột này." type="list">
      <formula1>"Kinh doanh,Kế toán,Nhân sự,Kỹ thuật,Kho vận"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6" customWidth="1" min="6" max="6"/>
  </cols>
  <sheetData>
    <row r="1" ht="32" customHeight="1">
      <c r="A1" s="1" t="inlineStr">
        <is>
          <t>Bộ phận</t>
        </is>
      </c>
      <c r="B1" s="1" t="inlineStr">
        <is>
          <t>Đầu kỳ</t>
        </is>
      </c>
      <c r="C1" s="1" t="inlineStr">
        <is>
          <t>Vào mới</t>
        </is>
      </c>
      <c r="D1" s="1" t="inlineStr">
        <is>
          <t>Nghỉ việc</t>
        </is>
      </c>
      <c r="E1" s="1" t="inlineStr">
        <is>
          <t>Cuối kỳ</t>
        </is>
      </c>
      <c r="F1" s="1" t="inlineStr">
        <is>
          <t>Tỷ lệ nghỉ việc</t>
        </is>
      </c>
    </row>
    <row r="2">
      <c r="A2" s="3" t="inlineStr">
        <is>
          <t>Kinh doanh</t>
        </is>
      </c>
      <c r="B2" s="2" t="n">
        <v>8</v>
      </c>
      <c r="C2" s="2" t="n">
        <v>1</v>
      </c>
      <c r="D2" s="2" t="n">
        <v>1</v>
      </c>
      <c r="E2" s="6">
        <f>IF(A2="","",B2+C2-D2)</f>
        <v/>
      </c>
      <c r="F2" s="9">
        <f>IF(A2="","",IFERROR(D2/B2,0))</f>
        <v/>
      </c>
    </row>
    <row r="3">
      <c r="A3" s="3" t="inlineStr">
        <is>
          <t>Kế toán</t>
        </is>
      </c>
      <c r="B3" s="2" t="n">
        <v>4</v>
      </c>
      <c r="C3" s="2" t="n">
        <v>0</v>
      </c>
      <c r="D3" s="2" t="n">
        <v>0</v>
      </c>
      <c r="E3" s="6">
        <f>IF(A3="","",B3+C3-D3)</f>
        <v/>
      </c>
      <c r="F3" s="9">
        <f>IF(A3="","",IFERROR(D3/B3,0))</f>
        <v/>
      </c>
    </row>
    <row r="4">
      <c r="A4" s="3" t="inlineStr">
        <is>
          <t>Nhân sự</t>
        </is>
      </c>
      <c r="B4" s="2" t="n">
        <v>3</v>
      </c>
      <c r="C4" s="2" t="n">
        <v>0</v>
      </c>
      <c r="D4" s="2" t="n">
        <v>0</v>
      </c>
      <c r="E4" s="6">
        <f>IF(A4="","",B4+C4-D4)</f>
        <v/>
      </c>
      <c r="F4" s="9">
        <f>IF(A4="","",IFERROR(D4/B4,0))</f>
        <v/>
      </c>
    </row>
    <row r="5">
      <c r="A5" s="3" t="inlineStr">
        <is>
          <t>Kỹ thuật</t>
        </is>
      </c>
      <c r="B5" s="2" t="n">
        <v>6</v>
      </c>
      <c r="C5" s="2" t="n">
        <v>1</v>
      </c>
      <c r="D5" s="2" t="n">
        <v>1</v>
      </c>
      <c r="E5" s="6">
        <f>IF(A5="","",B5+C5-D5)</f>
        <v/>
      </c>
      <c r="F5" s="9">
        <f>IF(A5="","",IFERROR(D5/B5,0))</f>
        <v/>
      </c>
    </row>
    <row r="6">
      <c r="A6" s="3" t="inlineStr">
        <is>
          <t>Kho vận</t>
        </is>
      </c>
      <c r="B6" s="2" t="n">
        <v>6</v>
      </c>
      <c r="C6" s="2" t="n">
        <v>0</v>
      </c>
      <c r="D6" s="2" t="n">
        <v>1</v>
      </c>
      <c r="E6" s="6">
        <f>IF(A6="","",B6+C6-D6)</f>
        <v/>
      </c>
      <c r="F6" s="9">
        <f>IF(A6="","",IFERROR(D6/B6,0))</f>
        <v/>
      </c>
    </row>
    <row r="7">
      <c r="A7" s="3" t="n"/>
      <c r="B7" s="2" t="n"/>
      <c r="C7" s="2" t="n"/>
      <c r="D7" s="2" t="n"/>
      <c r="E7" s="6">
        <f>IF(A7="","",B7+C7-D7)</f>
        <v/>
      </c>
      <c r="F7" s="9">
        <f>IF(A7="","",IFERROR(D7/B7,0))</f>
        <v/>
      </c>
    </row>
    <row r="8">
      <c r="A8" s="3" t="n"/>
      <c r="B8" s="2" t="n"/>
      <c r="C8" s="2" t="n"/>
      <c r="D8" s="2" t="n"/>
      <c r="E8" s="6">
        <f>IF(A8="","",B8+C8-D8)</f>
        <v/>
      </c>
      <c r="F8" s="9">
        <f>IF(A8="","",IFERROR(D8/B8,0))</f>
        <v/>
      </c>
    </row>
    <row r="9">
      <c r="A9" s="3" t="n"/>
      <c r="B9" s="2" t="n"/>
      <c r="C9" s="2" t="n"/>
      <c r="D9" s="2" t="n"/>
      <c r="E9" s="6">
        <f>IF(A9="","",B9+C9-D9)</f>
        <v/>
      </c>
      <c r="F9" s="9">
        <f>IF(A9="","",IFERROR(D9/B9,0))</f>
        <v/>
      </c>
    </row>
    <row r="10">
      <c r="A10" s="3" t="n"/>
      <c r="B10" s="2" t="n"/>
      <c r="C10" s="2" t="n"/>
      <c r="D10" s="2" t="n"/>
      <c r="E10" s="6">
        <f>IF(A10="","",B10+C10-D10)</f>
        <v/>
      </c>
      <c r="F10" s="9">
        <f>IF(A10="","",IFERROR(D10/B10,0))</f>
        <v/>
      </c>
    </row>
    <row r="11">
      <c r="A11" s="3" t="n"/>
      <c r="B11" s="2" t="n"/>
      <c r="C11" s="2" t="n"/>
      <c r="D11" s="2" t="n"/>
      <c r="E11" s="6">
        <f>IF(A11="","",B11+C11-D11)</f>
        <v/>
      </c>
      <c r="F11" s="9">
        <f>IF(A11="","",IFERROR(D11/B11,0))</f>
        <v/>
      </c>
    </row>
    <row r="12">
      <c r="A12" s="3" t="n"/>
      <c r="B12" s="2" t="n"/>
      <c r="C12" s="2" t="n"/>
      <c r="D12" s="2" t="n"/>
      <c r="E12" s="6">
        <f>IF(A12="","",B12+C12-D12)</f>
        <v/>
      </c>
      <c r="F12" s="9">
        <f>IF(A12="","",IFERROR(D12/B12,0))</f>
        <v/>
      </c>
    </row>
    <row r="13">
      <c r="A13" s="3" t="n"/>
      <c r="B13" s="2" t="n"/>
      <c r="C13" s="2" t="n"/>
      <c r="D13" s="2" t="n"/>
      <c r="E13" s="6">
        <f>IF(A13="","",B13+C13-D13)</f>
        <v/>
      </c>
      <c r="F13" s="9">
        <f>IF(A13="","",IFERROR(D13/B13,0))</f>
        <v/>
      </c>
    </row>
    <row r="14">
      <c r="A14" s="3" t="n"/>
      <c r="B14" s="2" t="n"/>
      <c r="C14" s="2" t="n"/>
      <c r="D14" s="2" t="n"/>
      <c r="E14" s="6">
        <f>IF(A14="","",B14+C14-D14)</f>
        <v/>
      </c>
      <c r="F14" s="9">
        <f>IF(A14="","",IFERROR(D14/B14,0))</f>
        <v/>
      </c>
    </row>
    <row r="15">
      <c r="A15" s="3" t="n"/>
      <c r="B15" s="2" t="n"/>
      <c r="C15" s="2" t="n"/>
      <c r="D15" s="2" t="n"/>
      <c r="E15" s="6">
        <f>IF(A15="","",B15+C15-D15)</f>
        <v/>
      </c>
      <c r="F15" s="9">
        <f>IF(A15="","",IFERROR(D15/B15,0))</f>
        <v/>
      </c>
    </row>
    <row r="16">
      <c r="A16" s="3" t="n"/>
      <c r="B16" s="2" t="n"/>
      <c r="C16" s="2" t="n"/>
      <c r="D16" s="2" t="n"/>
      <c r="E16" s="6">
        <f>IF(A16="","",B16+C16-D16)</f>
        <v/>
      </c>
      <c r="F16" s="9">
        <f>IF(A16="","",IFERROR(D16/B16,0))</f>
        <v/>
      </c>
    </row>
    <row r="17">
      <c r="A17" s="3" t="n"/>
      <c r="B17" s="2" t="n"/>
      <c r="C17" s="2" t="n"/>
      <c r="D17" s="2" t="n"/>
      <c r="E17" s="6">
        <f>IF(A17="","",B17+C17-D17)</f>
        <v/>
      </c>
      <c r="F17" s="9">
        <f>IF(A17="","",IFERROR(D17/B17,0))</f>
        <v/>
      </c>
    </row>
    <row r="18">
      <c r="A18" s="3" t="n"/>
      <c r="B18" s="2" t="n"/>
      <c r="C18" s="2" t="n"/>
      <c r="D18" s="2" t="n"/>
      <c r="E18" s="6">
        <f>IF(A18="","",B18+C18-D18)</f>
        <v/>
      </c>
      <c r="F18" s="9">
        <f>IF(A18="","",IFERROR(D18/B18,0))</f>
        <v/>
      </c>
    </row>
    <row r="19">
      <c r="A19" s="3" t="n"/>
      <c r="B19" s="2" t="n"/>
      <c r="C19" s="2" t="n"/>
      <c r="D19" s="2" t="n"/>
      <c r="E19" s="6">
        <f>IF(A19="","",B19+C19-D19)</f>
        <v/>
      </c>
      <c r="F19" s="9">
        <f>IF(A19="","",IFERROR(D19/B19,0))</f>
        <v/>
      </c>
    </row>
    <row r="20">
      <c r="A20" s="3" t="n"/>
      <c r="B20" s="2" t="n"/>
      <c r="C20" s="2" t="n"/>
      <c r="D20" s="2" t="n"/>
      <c r="E20" s="6">
        <f>IF(A20="","",B20+C20-D20)</f>
        <v/>
      </c>
      <c r="F20" s="9">
        <f>IF(A20="","",IFERROR(D20/B20,0))</f>
        <v/>
      </c>
    </row>
    <row r="21">
      <c r="A21" s="3" t="n"/>
      <c r="B21" s="2" t="n"/>
      <c r="C21" s="2" t="n"/>
      <c r="D21" s="2" t="n"/>
      <c r="E21" s="6">
        <f>IF(A21="","",B21+C21-D21)</f>
        <v/>
      </c>
      <c r="F21" s="9">
        <f>IF(A21="","",IFERROR(D21/B21,0))</f>
        <v/>
      </c>
    </row>
  </sheetData>
  <autoFilter ref="A1:F21"/>
  <dataValidations count="4">
    <dataValidation sqref="A2:A21" showDropDown="0" showInputMessage="0" showErrorMessage="0" allowBlank="1" errorTitle="Sai định dạng" error="Giá trị không hợp lệ cho cột này." type="list">
      <formula1>"Kinh doanh,Kế toán,Nhân sự,Kỹ thuật,Kho vận"</formula1>
    </dataValidation>
    <dataValidation sqref="B2:B21" showDropDown="0" showInputMessage="0" showErrorMessage="0" allowBlank="1" errorTitle="Sai định dạng" error="Giá trị không hợp lệ cho cột này." type="whole" operator="between">
      <formula1>0</formula1>
      <formula2>5000</formula2>
    </dataValidation>
    <dataValidation sqref="C2:C21" showDropDown="0" showInputMessage="0" showErrorMessage="0" allowBlank="1" errorTitle="Sai định dạng" error="Giá trị không hợp lệ cho cột này." type="whole" operator="between">
      <formula1>0</formula1>
      <formula2>5000</formula2>
    </dataValidation>
    <dataValidation sqref="D2:D21" showDropDown="0" showInputMessage="0" showErrorMessage="0" allowBlank="1" errorTitle="Sai định dạng" error="Giá trị không hợp lệ cho cột này." type="whole" operator="between">
      <formula1>0</formula1>
      <formula2>5000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61"/>
  <sheetViews>
    <sheetView workbookViewId="0">
      <selection activeCell="A1" sqref="A1"/>
    </sheetView>
  </sheetViews>
  <sheetFormatPr baseColWidth="8" defaultRowHeight="15"/>
  <cols>
    <col width="4" customWidth="1" min="1" max="1"/>
    <col width="100" customWidth="1" min="2" max="2"/>
  </cols>
  <sheetData>
    <row r="1">
      <c r="B1" s="10" t="inlineStr">
        <is>
          <t>Bộ file Excel quản lý nhân sự theo tháng (5 file nối sẵn trong một workbook)</t>
        </is>
      </c>
    </row>
    <row r="2">
      <c r="B2" s="11" t="inlineStr">
        <is>
          <t>Cả 5 file trong một workbook, 6 sheet nối sẵn bằng công thức</t>
        </is>
      </c>
    </row>
    <row r="3">
      <c r="B3" s="11" t="inlineStr"/>
    </row>
    <row r="4">
      <c r="B4" s="12" t="inlineStr">
        <is>
          <t>THỨ TỰ NHẬP</t>
        </is>
      </c>
    </row>
    <row r="5">
      <c r="B5" s="11" t="inlineStr">
        <is>
          <t>Nhập theo thứ tự tab từ trái sang phải. Cột nền xanh nhạt là ô có công thức — gõ đè lên sẽ xóa mất công thức của riêng ô đó.</t>
        </is>
      </c>
    </row>
    <row r="6">
      <c r="B6" s="13" t="inlineStr">
        <is>
          <t>1. Danh sách NV  —  Đầu vào</t>
        </is>
      </c>
    </row>
    <row r="7">
      <c r="B7" s="11" t="inlineStr">
        <is>
          <t xml:space="preserve">   HR cập nhật mỗi khi có người vào hoặc nghỉ việc.</t>
        </is>
      </c>
    </row>
    <row r="8">
      <c r="B8" s="13" t="inlineStr">
        <is>
          <t>2. Nghỉ phép  —  Đầu vào</t>
        </is>
      </c>
    </row>
    <row r="9">
      <c r="B9" s="11" t="inlineStr">
        <is>
          <t xml:space="preserve">   HR ghi vào ngay khi duyệt đơn.</t>
        </is>
      </c>
    </row>
    <row r="10">
      <c r="B10" s="13" t="inlineStr">
        <is>
          <t>3. Chấm công  —  Đầu vào</t>
        </is>
      </c>
    </row>
    <row r="11">
      <c r="B11" s="11" t="inlineStr">
        <is>
          <t xml:space="preserve">   HR nhập hằng ngày, chốt vào ngày cuối tháng.</t>
        </is>
      </c>
    </row>
    <row r="12">
      <c r="B12" s="13" t="inlineStr">
        <is>
          <t>4. Bảng lương  —  Xử lý</t>
        </is>
      </c>
    </row>
    <row r="13">
      <c r="B13" s="11" t="inlineStr">
        <is>
          <t xml:space="preserve">   Kế toán lương chạy một lần vào đầu tháng sau.</t>
        </is>
      </c>
    </row>
    <row r="14">
      <c r="B14" s="13" t="inlineStr">
        <is>
          <t>5. Tổng hợp  —  Tổng hợp</t>
        </is>
      </c>
    </row>
    <row r="15">
      <c r="B15" s="11" t="inlineStr">
        <is>
          <t xml:space="preserve">   Trưởng phòng chỉ đọc, không nhập gì vào đây.</t>
        </is>
      </c>
    </row>
    <row r="16">
      <c r="B16" s="13" t="inlineStr">
        <is>
          <t>6. Biến động NS  —  Tổng hợp</t>
        </is>
      </c>
    </row>
    <row r="17">
      <c r="B17" s="11" t="inlineStr">
        <is>
          <t xml:space="preserve">   Trưởng phòng chỉ đọc, không nhập gì vào đây.</t>
        </is>
      </c>
    </row>
    <row r="18">
      <c r="B18" s="11" t="inlineStr"/>
    </row>
    <row r="19">
      <c r="B19" s="12" t="inlineStr">
        <is>
          <t>CÔNG THỨC NỐI GIỮA CÁC SHEET</t>
        </is>
      </c>
    </row>
    <row r="20">
      <c r="B20" s="11" t="inlineStr">
        <is>
          <t>Đây là phần mà bản tải từng file riêng không có. Khóa nối giữa các sheet là Mã NV.</t>
        </is>
      </c>
    </row>
    <row r="21">
      <c r="B21" s="13" t="inlineStr">
        <is>
          <t>Nghỉ phép · Họ và tên  —  =IFERROR(INDEX('Danh sách NV'!$C$2:$C$500,MATCH(B2,'Danh sách NV'!$B$2:$B$500,0)),"")</t>
        </is>
      </c>
    </row>
    <row r="22">
      <c r="B22" s="11" t="inlineStr">
        <is>
          <t xml:space="preserve">   MATCH tìm mã nhân viên trong cột Mã NV của sheet Danh sách NV rồi trả về vị trí dòng, INDEX lấy họ tên ở đúng vị trí đó. Gõ sai mã thì MATCH không tìm thấy, IFERROR biến lỗi thành ô trống — đó chính là tín hiệu cho bạn biết mã vừa gõ không có trong hồ sơ.</t>
        </is>
      </c>
    </row>
    <row r="23">
      <c r="B23" s="13" t="inlineStr">
        <is>
          <t>Nghỉ phép · Bộ phận  —  =IFERROR(INDEX('Danh sách NV'!$D$2:$D$500,MATCH(B2,'Danh sách NV'!$B$2:$B$500,0)),"")</t>
        </is>
      </c>
    </row>
    <row r="24">
      <c r="B24" s="11" t="inlineStr">
        <is>
          <t xml:space="preserve">   Bộ phận lấy từ hồ sơ gốc chứ không cho gõ tay. Nhờ vậy khi ai đó chuyển bộ phận, bạn sửa đúng một chỗ ở sheet Danh sách NV là mọi sheet còn lại đổi theo.</t>
        </is>
      </c>
    </row>
    <row r="25">
      <c r="B25" s="13" t="inlineStr">
        <is>
          <t>Chấm công · Họ và tên  —  =IFERROR(INDEX('Danh sách NV'!$C$2:$C$500,MATCH(B2,'Danh sách NV'!$B$2:$B$500,0)),"")</t>
        </is>
      </c>
    </row>
    <row r="26">
      <c r="B26" s="11" t="inlineStr">
        <is>
          <t xml:space="preserve">   Cùng cách tra như sheet Nghỉ phép. Bảng chấm công vì thế chỉ cần gõ mã nhân viên, không phải gõ lại họ tên mỗi tháng — vốn là chỗ hay sai chính tả nhất và làm hỏng mọi phép cộng theo tên.</t>
        </is>
      </c>
    </row>
    <row r="27">
      <c r="B27" s="13" t="inlineStr">
        <is>
          <t>Chấm công · Bộ phận  —  =IFERROR(INDEX('Danh sách NV'!$D$2:$D$500,MATCH(B2,'Danh sách NV'!$B$2:$B$500,0)),"")</t>
        </is>
      </c>
    </row>
    <row r="28">
      <c r="B28" s="11" t="inlineStr">
        <is>
          <t xml:space="preserve">   Bộ phận tra từ hồ sơ gốc. Đây là cột mà sheet Tổng hợp cộng theo, nên nếu để gõ tay thì chỉ cần một dòng ghi "Kế toán " thừa dấu cách là bộ phận đó hụt số liệu mà không ai thấy.</t>
        </is>
      </c>
    </row>
    <row r="29">
      <c r="B29" s="13" t="inlineStr">
        <is>
          <t>Chấm công · Nghỉ phép  —  =IF(B2="","",SUMIF('Nghỉ phép'!$B$2:$B$500,B2,'Nghỉ phép'!$K$2:$K$500))</t>
        </is>
      </c>
    </row>
    <row r="30">
      <c r="B30" s="11" t="inlineStr">
        <is>
          <t xml:space="preserve">   Cộng tất cả ngày nghỉ có hưởng lương đã duyệt của người này bên sheet Nghỉ phép. Một người nghỉ ba đợt trong tháng thì SUMIF gom cả ba, còn đơn đang chờ duyệt thì bên kia đã trả về 0 nên không lọt vào đây.</t>
        </is>
      </c>
    </row>
    <row r="31">
      <c r="B31" s="13" t="inlineStr">
        <is>
          <t>Chấm công · Nghỉ không lương  —  =IF(B2="","",SUMIF('Nghỉ phép'!$B$2:$B$500,B2,'Nghỉ phép'!$L$2:$L$500))</t>
        </is>
      </c>
    </row>
    <row r="32">
      <c r="B32" s="11" t="inlineStr">
        <is>
          <t xml:space="preserve">   Cộng ngày nghỉ không lương đã duyệt. Đây là con số kéo theo cả chuỗi: nó không được cộng vào tổng công hưởng lương, nên bảng lương tính ra ít tiền hơn và tỷ lệ đi làm ở sheet Tổng hợp tụt xuống.</t>
        </is>
      </c>
    </row>
    <row r="33">
      <c r="B33" s="13" t="inlineStr">
        <is>
          <t>Bảng lương · Họ và tên  —  =IFERROR(INDEX('Danh sách NV'!$C$2:$C$500,MATCH(B2,'Danh sách NV'!$B$2:$B$500,0)),"")</t>
        </is>
      </c>
    </row>
    <row r="34">
      <c r="B34" s="11" t="inlineStr">
        <is>
          <t xml:space="preserve">   Tra họ tên từ hồ sơ gốc. Mọi công thức khác trong sheet này đều mở đầu bằng kiểm tra họ tên có rỗng không, nên khi mã nhân viên chưa nhập thì cả dòng tự nằm im.</t>
        </is>
      </c>
    </row>
    <row r="35">
      <c r="B35" s="13" t="inlineStr">
        <is>
          <t>Bảng lương · Bộ phận  —  =IFERROR(INDEX('Danh sách NV'!$D$2:$D$500,MATCH(B2,'Danh sách NV'!$B$2:$B$500,0)),"")</t>
        </is>
      </c>
    </row>
    <row r="36">
      <c r="B36" s="11" t="inlineStr">
        <is>
          <t xml:space="preserve">   Bộ phận tra từ hồ sơ gốc, và sheet Tổng hợp cộng quỹ lương theo đúng cột này.</t>
        </is>
      </c>
    </row>
    <row r="37">
      <c r="B37" s="13" t="inlineStr">
        <is>
          <t>Bảng lương · Lương cơ bản  —  =IFERROR(INDEX('Danh sách NV'!$H$2:$H$500,MATCH(B2,'Danh sách NV'!$B$2:$B$500,0)),0)</t>
        </is>
      </c>
    </row>
    <row r="38">
      <c r="B38" s="11" t="inlineStr">
        <is>
          <t xml:space="preserve">   Lương hợp đồng lấy từ hồ sơ gốc. Tăng lương cho ai thì sửa ở sheet Danh sách NV, bảng lương tháng này và mọi tháng sau tự lấy mức mới — không còn cảnh mỗi tháng chép lại một cột lương rồi quên cập nhật một người.</t>
        </is>
      </c>
    </row>
    <row r="39">
      <c r="B39" s="13" t="inlineStr">
        <is>
          <t>Bảng lương · Phụ cấp  —  =IFERROR(INDEX('Danh sách NV'!$I$2:$I$500,MATCH(B2,'Danh sách NV'!$B$2:$B$500,0)),0)</t>
        </is>
      </c>
    </row>
    <row r="40">
      <c r="B40" s="11" t="inlineStr">
        <is>
          <t xml:space="preserve">   Phụ cấp cố định hằng tháng lấy từ hồ sơ gốc. Tháng nào có khoản phát sinh riêng thì gõ đè lên ô đó, nhưng nhớ là gõ đè sẽ xóa công thức của riêng ô đó.</t>
        </is>
      </c>
    </row>
    <row r="41">
      <c r="B41" s="13" t="inlineStr">
        <is>
          <t>Bảng lương · Số người phụ thuộc  —  =IFERROR(INDEX('Danh sách NV'!$J$2:$J$500,MATCH(B2,'Danh sách NV'!$B$2:$B$500,0)),0)</t>
        </is>
      </c>
    </row>
    <row r="42">
      <c r="B42" s="11" t="inlineStr">
        <is>
          <t xml:space="preserve">   Số người phụ thuộc lấy từ hồ sơ gốc vì nó thay đổi rất ít nhưng lại ảnh hưởng thẳng tới thuế TNCN. Đăng ký thêm một người phụ thuộc thì sửa ở hồ sơ, thuế tháng này tính lại ngay.</t>
        </is>
      </c>
    </row>
    <row r="43">
      <c r="B43" s="13" t="inlineStr">
        <is>
          <t>Bảng lương · Công chuẩn  —  =IFERROR(INDEX('Chấm công'!$E$2:$E$500,MATCH(B2,'Chấm công'!$B$2:$B$500,0)),0)</t>
        </is>
      </c>
    </row>
    <row r="44">
      <c r="B44" s="11" t="inlineStr">
        <is>
          <t xml:space="preserve">   Công chuẩn lấy đúng con số đã ghi ở bảng chấm công của chính người đó, để hai bảng không bao giờ dùng hai mẫu số khác nhau khi chia lương theo ngày công.</t>
        </is>
      </c>
    </row>
    <row r="45">
      <c r="B45" s="13" t="inlineStr">
        <is>
          <t>Bảng lương · Công hưởng lương  —  =IF(B2="","",SUMIF('Chấm công'!$B$2:$B$500,B2,'Chấm công'!$J$2:$J$500))</t>
        </is>
      </c>
    </row>
    <row r="46">
      <c r="B46" s="11" t="inlineStr">
        <is>
          <t xml:space="preserve">   Cộng cột Tổng công hưởng lương bên sheet Chấm công. Dùng SUMIF thay vì tra một dòng để phòng trường hợp một người có nhiều dòng chấm công trong tháng, ví dụ chuyển bộ phận giữa kỳ. Đây là cột làm cho lương thực sự phụ thuộc vào việc đi làm.</t>
        </is>
      </c>
    </row>
    <row r="47">
      <c r="B47" s="13" t="inlineStr">
        <is>
          <t>Tổng hợp · Số nhân viên  —  =IF(B2="","",COUNTIFS('Danh sách NV'!$D$2:$D$500,B2,'Danh sách NV'!$K$2:$K$500,"Đang làm"))</t>
        </is>
      </c>
    </row>
    <row r="48">
      <c r="B48" s="11" t="inlineStr">
        <is>
          <t xml:space="preserve">   Đếm người của bộ phận này còn trạng thái Đang làm trong hồ sơ gốc. Hai điều kiện nên phải dùng COUNTIFS chứ không phải COUNTIF. Người đã nghỉ vẫn nằm trong hồ sơ nhưng không được tính vào quân số.</t>
        </is>
      </c>
    </row>
    <row r="49">
      <c r="B49" s="13" t="inlineStr">
        <is>
          <t>Tổng hợp · Công chuẩn  —  =IF(B2="","",IFERROR(SUMIF('Chấm công'!$D$2:$D$500,B2,'Chấm công'!$E$2:$E$500)/COUNTIF('Chấm công'!$D$2:$D$500,B2),0))</t>
        </is>
      </c>
    </row>
    <row r="50">
      <c r="B50" s="11" t="inlineStr">
        <is>
          <t xml:space="preserve">   Công chuẩn bình quân của bộ phận: cộng công chuẩn của mọi dòng chấm công thuộc bộ phận rồi chia cho số dòng. Lấy từ bảng chấm công thay vì gõ tay để mẫu số của tỷ lệ đi làm luôn khớp với tử số. Bộ phận nào chưa có dòng chấm công nào thì COUNTIF ra 0 và IFERROR đưa về 0.</t>
        </is>
      </c>
    </row>
    <row r="51">
      <c r="B51" s="13" t="inlineStr">
        <is>
          <t>Tổng hợp · Tổng công thực tế  —  =IF(B2="","",SUMIF('Chấm công'!$D$2:$D$500,B2,'Chấm công'!$J$2:$J$500))</t>
        </is>
      </c>
    </row>
    <row r="52">
      <c r="B52" s="11" t="inlineStr">
        <is>
          <t xml:space="preserve">   Cộng tổng công hưởng lương của mọi người trong bộ phận. Trước đây đây là ô bạn phải tự lọc bảng chấm công rồi gõ vào; giờ nó đổi theo ngay khi có người sửa một ngày công.</t>
        </is>
      </c>
    </row>
    <row r="53">
      <c r="B53" s="13" t="inlineStr">
        <is>
          <t>Tổng hợp · Quỹ lương thực chi  —  =IF(B2="","",SUMIF('Bảng lương'!$D$2:$D$500,B2,'Bảng lương'!$P$2:$P$500))</t>
        </is>
      </c>
    </row>
    <row r="54">
      <c r="B54" s="11" t="inlineStr">
        <is>
          <t xml:space="preserve">   Cộng cột Thực lĩnh của bộ phận bên sheet Bảng lương. Là số tiền thật phải chi, đã trừ bảo hiểm và thuế — không phải tổng lương hợp đồng.</t>
        </is>
      </c>
    </row>
    <row r="55">
      <c r="B55" s="11" t="inlineStr"/>
    </row>
    <row r="56">
      <c r="B56" s="12" t="inlineStr">
        <is>
          <t>GIỚI HẠN CẦN BIẾT</t>
        </is>
      </c>
    </row>
    <row r="57">
      <c r="B57" s="11" t="inlineStr">
        <is>
          <t>Công thức nối quét tới dòng 500 của mỗi sheet. Dữ liệu vượt quá dòng đó sẽ không được cộng vào các sheet sau mà không có cảnh báo nào. Nếu công ty bạn cần nhiều hơn, sửa số 500 trong công thức lên mức cao hơn ở toàn bộ file.</t>
        </is>
      </c>
    </row>
    <row r="58">
      <c r="B58" s="11" t="inlineStr">
        <is>
          <t>Cả bộ nằm trong một file nên chỉ nên có một người nhập tại một thời điểm. Muốn nhiều người nhập cùng lúc thì đưa file lên OneDrive hoặc SharePoint.</t>
        </is>
      </c>
    </row>
    <row r="59">
      <c r="B59" s="11" t="inlineStr"/>
    </row>
    <row r="60">
      <c r="B60" s="13" t="inlineStr">
        <is>
          <t>Bản cập nhật mới nhất và sơ đồ liên kết:</t>
        </is>
      </c>
    </row>
    <row r="61">
      <c r="B61" s="14" t="inlineStr">
        <is>
          <t>https://excel.nguyenvietloc.com/mau-excel/nhan-su/quan-ly-nhan-su-thang</t>
        </is>
      </c>
    </row>
  </sheetData>
  <hyperlinks>
    <hyperlink xmlns:r="http://schemas.openxmlformats.org/officeDocument/2006/relationships" ref="B6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2026-07-30T00:13:15Z</dcterms:created>
  <dcterms:modified xsi:type="dcterms:W3CDTF">2026-07-30T00:13:15Z</dcterms:modified>
</cp:coreProperties>
</file>