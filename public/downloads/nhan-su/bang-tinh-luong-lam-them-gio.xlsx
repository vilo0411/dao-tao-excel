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ương làm thêm giờ" sheetId="1" state="visible" r:id="rId1"/>
    <sheet name="Hướng dẫn" sheetId="2" state="visible" r:id="rId2"/>
  </sheets>
  <definedNames>
    <definedName name="_xlnm._FilterDatabase" localSheetId="0" hidden="1">'Lương làm thêm giờ'!$A$1:$S$31</definedName>
  </definedNames>
  <calcPr calcId="124519" fullCalcOnLoad="1"/>
</workbook>
</file>

<file path=xl/styles.xml><?xml version="1.0" encoding="utf-8"?>
<styleSheet xmlns="http://schemas.openxmlformats.org/spreadsheetml/2006/main">
  <numFmts count="2">
    <numFmt numFmtId="164" formatCode="#,##0.##"/>
    <numFmt numFmtId="165" formatCode="#,##0 &quot;₫&quot;"/>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5" fontId="0" fillId="0" borderId="1" pivotButton="0" quotePrefix="0" xfId="0"/>
    <xf numFmtId="165" fontId="0" fillId="3" borderId="1" pivotButton="0" quotePrefix="0" xfId="0"/>
    <xf numFmtId="164"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nhan-su/bang-tinh-luong-lam-them-gio" TargetMode="External" Id="rId1" /></Relationships>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16" customWidth="1" min="4" max="4"/>
    <col width="16" customWidth="1" min="5" max="5"/>
    <col width="11" customWidth="1" min="6" max="6"/>
    <col width="17" customWidth="1" min="7" max="7"/>
    <col width="19" customWidth="1" min="8" max="8"/>
    <col width="15" customWidth="1" min="9" max="9"/>
    <col width="15" customWidth="1" min="10" max="10"/>
    <col width="17" customWidth="1" min="11" max="11"/>
    <col width="14" customWidth="1" min="12" max="12"/>
    <col width="18" customWidth="1" min="13" max="13"/>
    <col width="20" customWidth="1" min="14" max="14"/>
    <col width="16" customWidth="1" min="15" max="15"/>
    <col width="16" customWidth="1" min="16" max="16"/>
    <col width="16" customWidth="1" min="17" max="17"/>
    <col width="16" customWidth="1" min="18" max="18"/>
    <col width="13" customWidth="1" min="19" max="19"/>
  </cols>
  <sheetData>
    <row r="1" ht="32" customHeight="1">
      <c r="A1" s="1" t="inlineStr">
        <is>
          <t>STT</t>
        </is>
      </c>
      <c r="B1" s="1" t="inlineStr">
        <is>
          <t>Mã NV</t>
        </is>
      </c>
      <c r="C1" s="1" t="inlineStr">
        <is>
          <t>Họ và tên</t>
        </is>
      </c>
      <c r="D1" s="1" t="inlineStr">
        <is>
          <t>Bộ phận</t>
        </is>
      </c>
      <c r="E1" s="1" t="inlineStr">
        <is>
          <t>Lương tháng</t>
        </is>
      </c>
      <c r="F1" s="1" t="inlineStr">
        <is>
          <t>Công chuẩn</t>
        </is>
      </c>
      <c r="G1" s="1" t="inlineStr">
        <is>
          <t>Giờ TC ngày thường</t>
        </is>
      </c>
      <c r="H1" s="1" t="inlineStr">
        <is>
          <t>Giờ TC ngày nghỉ tuần</t>
        </is>
      </c>
      <c r="I1" s="1" t="inlineStr">
        <is>
          <t>Giờ TC ngày lễ</t>
        </is>
      </c>
      <c r="J1" s="1" t="inlineStr">
        <is>
          <t>Giờ TC ban đêm</t>
        </is>
      </c>
      <c r="K1" s="1" t="inlineStr">
        <is>
          <t>Giờ ca đêm thường</t>
        </is>
      </c>
      <c r="L1" s="1" t="inlineStr">
        <is>
          <t>Đơn giá giờ</t>
        </is>
      </c>
      <c r="M1" s="1" t="inlineStr">
        <is>
          <t>Tiền TC ngày thường</t>
        </is>
      </c>
      <c r="N1" s="1" t="inlineStr">
        <is>
          <t>Tiền TC ngày nghỉ tuần</t>
        </is>
      </c>
      <c r="O1" s="1" t="inlineStr">
        <is>
          <t>Tiền TC ngày lễ</t>
        </is>
      </c>
      <c r="P1" s="1" t="inlineStr">
        <is>
          <t>Tiền TC ban đêm</t>
        </is>
      </c>
      <c r="Q1" s="1" t="inlineStr">
        <is>
          <t>Phụ cấp ca đêm</t>
        </is>
      </c>
      <c r="R1" s="1" t="inlineStr">
        <is>
          <t>Tổng cộng</t>
        </is>
      </c>
      <c r="S1" s="1" t="inlineStr">
        <is>
          <t>Tổng giờ TC</t>
        </is>
      </c>
    </row>
    <row r="2">
      <c r="A2" s="2" t="n">
        <v>1</v>
      </c>
      <c r="B2" s="3" t="inlineStr">
        <is>
          <t>NV001</t>
        </is>
      </c>
      <c r="C2" s="3" t="inlineStr">
        <is>
          <t>Nguyễn Thị Mai</t>
        </is>
      </c>
      <c r="D2" s="3" t="inlineStr">
        <is>
          <t>Kinh doanh</t>
        </is>
      </c>
      <c r="E2" s="4" t="n">
        <v>18000000</v>
      </c>
      <c r="F2" s="2" t="n">
        <v>26</v>
      </c>
      <c r="G2" s="2" t="n">
        <v>12</v>
      </c>
      <c r="H2" s="2" t="n">
        <v>8</v>
      </c>
      <c r="I2" s="2" t="n">
        <v>0</v>
      </c>
      <c r="J2" s="2" t="n">
        <v>0</v>
      </c>
      <c r="K2" s="2" t="n">
        <v>0</v>
      </c>
      <c r="L2" s="5">
        <f>IF(C2="","",IFERROR(ROUND(E2/(F2*8),0),0))</f>
        <v/>
      </c>
      <c r="M2" s="5">
        <f>IF(C2="","",ROUND(L2*G2*150%,0))</f>
        <v/>
      </c>
      <c r="N2" s="5">
        <f>IF(C2="","",ROUND(L2*H2*200%,0))</f>
        <v/>
      </c>
      <c r="O2" s="5">
        <f>IF(C2="","",ROUND(L2*I2*300%,0))</f>
        <v/>
      </c>
      <c r="P2" s="5">
        <f>IF(C2="","",ROUND(L2*J2*200%,0))</f>
        <v/>
      </c>
      <c r="Q2" s="5">
        <f>IF(C2="","",ROUND(L2*K2*30%,0))</f>
        <v/>
      </c>
      <c r="R2" s="5">
        <f>IF(C2="","",M2+N2+O2+P2+Q2)</f>
        <v/>
      </c>
      <c r="S2" s="6">
        <f>IF(C2="","",G2+H2+I2+J2)</f>
        <v/>
      </c>
    </row>
    <row r="3">
      <c r="A3" s="2" t="n">
        <v>2</v>
      </c>
      <c r="B3" s="3" t="inlineStr">
        <is>
          <t>NV002</t>
        </is>
      </c>
      <c r="C3" s="3" t="inlineStr">
        <is>
          <t>Trần Văn Hùng</t>
        </is>
      </c>
      <c r="D3" s="3" t="inlineStr">
        <is>
          <t>Kỹ thuật</t>
        </is>
      </c>
      <c r="E3" s="4" t="n">
        <v>15000000</v>
      </c>
      <c r="F3" s="2" t="n">
        <v>26</v>
      </c>
      <c r="G3" s="2" t="n">
        <v>6</v>
      </c>
      <c r="H3" s="2" t="n">
        <v>0</v>
      </c>
      <c r="I3" s="2" t="n">
        <v>8</v>
      </c>
      <c r="J3" s="2" t="n">
        <v>4</v>
      </c>
      <c r="K3" s="2" t="n">
        <v>0</v>
      </c>
      <c r="L3" s="5">
        <f>IF(C3="","",IFERROR(ROUND(E3/(F3*8),0),0))</f>
        <v/>
      </c>
      <c r="M3" s="5">
        <f>IF(C3="","",ROUND(L3*G3*150%,0))</f>
        <v/>
      </c>
      <c r="N3" s="5">
        <f>IF(C3="","",ROUND(L3*H3*200%,0))</f>
        <v/>
      </c>
      <c r="O3" s="5">
        <f>IF(C3="","",ROUND(L3*I3*300%,0))</f>
        <v/>
      </c>
      <c r="P3" s="5">
        <f>IF(C3="","",ROUND(L3*J3*200%,0))</f>
        <v/>
      </c>
      <c r="Q3" s="5">
        <f>IF(C3="","",ROUND(L3*K3*30%,0))</f>
        <v/>
      </c>
      <c r="R3" s="5">
        <f>IF(C3="","",M3+N3+O3+P3+Q3)</f>
        <v/>
      </c>
      <c r="S3" s="6">
        <f>IF(C3="","",G3+H3+I3+J3)</f>
        <v/>
      </c>
    </row>
    <row r="4">
      <c r="A4" s="2" t="n">
        <v>3</v>
      </c>
      <c r="B4" s="3" t="inlineStr">
        <is>
          <t>NV003</t>
        </is>
      </c>
      <c r="C4" s="3" t="inlineStr">
        <is>
          <t>Lê Thu Hà</t>
        </is>
      </c>
      <c r="D4" s="3" t="inlineStr">
        <is>
          <t>Kế toán</t>
        </is>
      </c>
      <c r="E4" s="4" t="n">
        <v>14000000</v>
      </c>
      <c r="F4" s="2" t="n">
        <v>26</v>
      </c>
      <c r="G4" s="2" t="n">
        <v>10</v>
      </c>
      <c r="H4" s="2" t="n">
        <v>0</v>
      </c>
      <c r="I4" s="2" t="n">
        <v>0</v>
      </c>
      <c r="J4" s="2" t="n">
        <v>0</v>
      </c>
      <c r="K4" s="2" t="n">
        <v>0</v>
      </c>
      <c r="L4" s="5">
        <f>IF(C4="","",IFERROR(ROUND(E4/(F4*8),0),0))</f>
        <v/>
      </c>
      <c r="M4" s="5">
        <f>IF(C4="","",ROUND(L4*G4*150%,0))</f>
        <v/>
      </c>
      <c r="N4" s="5">
        <f>IF(C4="","",ROUND(L4*H4*200%,0))</f>
        <v/>
      </c>
      <c r="O4" s="5">
        <f>IF(C4="","",ROUND(L4*I4*300%,0))</f>
        <v/>
      </c>
      <c r="P4" s="5">
        <f>IF(C4="","",ROUND(L4*J4*200%,0))</f>
        <v/>
      </c>
      <c r="Q4" s="5">
        <f>IF(C4="","",ROUND(L4*K4*30%,0))</f>
        <v/>
      </c>
      <c r="R4" s="5">
        <f>IF(C4="","",M4+N4+O4+P4+Q4)</f>
        <v/>
      </c>
      <c r="S4" s="6">
        <f>IF(C4="","",G4+H4+I4+J4)</f>
        <v/>
      </c>
    </row>
    <row r="5">
      <c r="A5" s="2" t="n">
        <v>4</v>
      </c>
      <c r="B5" s="3" t="inlineStr">
        <is>
          <t>NV004</t>
        </is>
      </c>
      <c r="C5" s="3" t="inlineStr">
        <is>
          <t>Phạm Minh Đức</t>
        </is>
      </c>
      <c r="D5" s="3" t="inlineStr">
        <is>
          <t>Kho vận</t>
        </is>
      </c>
      <c r="E5" s="4" t="n">
        <v>11000000</v>
      </c>
      <c r="F5" s="2" t="n">
        <v>26</v>
      </c>
      <c r="G5" s="2" t="n">
        <v>0</v>
      </c>
      <c r="H5" s="2" t="n">
        <v>16</v>
      </c>
      <c r="I5" s="2" t="n">
        <v>0</v>
      </c>
      <c r="J5" s="2" t="n">
        <v>6</v>
      </c>
      <c r="K5" s="2" t="n">
        <v>48</v>
      </c>
      <c r="L5" s="5">
        <f>IF(C5="","",IFERROR(ROUND(E5/(F5*8),0),0))</f>
        <v/>
      </c>
      <c r="M5" s="5">
        <f>IF(C5="","",ROUND(L5*G5*150%,0))</f>
        <v/>
      </c>
      <c r="N5" s="5">
        <f>IF(C5="","",ROUND(L5*H5*200%,0))</f>
        <v/>
      </c>
      <c r="O5" s="5">
        <f>IF(C5="","",ROUND(L5*I5*300%,0))</f>
        <v/>
      </c>
      <c r="P5" s="5">
        <f>IF(C5="","",ROUND(L5*J5*200%,0))</f>
        <v/>
      </c>
      <c r="Q5" s="5">
        <f>IF(C5="","",ROUND(L5*K5*30%,0))</f>
        <v/>
      </c>
      <c r="R5" s="5">
        <f>IF(C5="","",M5+N5+O5+P5+Q5)</f>
        <v/>
      </c>
      <c r="S5" s="6">
        <f>IF(C5="","",G5+H5+I5+J5)</f>
        <v/>
      </c>
    </row>
    <row r="6">
      <c r="A6" s="2" t="n">
        <v>5</v>
      </c>
      <c r="B6" s="3" t="inlineStr">
        <is>
          <t>NV005</t>
        </is>
      </c>
      <c r="C6" s="3" t="inlineStr">
        <is>
          <t>Hoàng Thị Lan</t>
        </is>
      </c>
      <c r="D6" s="3" t="inlineStr">
        <is>
          <t>Nhân sự</t>
        </is>
      </c>
      <c r="E6" s="4" t="n">
        <v>13000000</v>
      </c>
      <c r="F6" s="2" t="n">
        <v>26</v>
      </c>
      <c r="G6" s="2" t="n">
        <v>4</v>
      </c>
      <c r="H6" s="2" t="n">
        <v>0</v>
      </c>
      <c r="I6" s="2" t="n">
        <v>0</v>
      </c>
      <c r="J6" s="2" t="n">
        <v>0</v>
      </c>
      <c r="K6" s="2" t="n">
        <v>0</v>
      </c>
      <c r="L6" s="5">
        <f>IF(C6="","",IFERROR(ROUND(E6/(F6*8),0),0))</f>
        <v/>
      </c>
      <c r="M6" s="5">
        <f>IF(C6="","",ROUND(L6*G6*150%,0))</f>
        <v/>
      </c>
      <c r="N6" s="5">
        <f>IF(C6="","",ROUND(L6*H6*200%,0))</f>
        <v/>
      </c>
      <c r="O6" s="5">
        <f>IF(C6="","",ROUND(L6*I6*300%,0))</f>
        <v/>
      </c>
      <c r="P6" s="5">
        <f>IF(C6="","",ROUND(L6*J6*200%,0))</f>
        <v/>
      </c>
      <c r="Q6" s="5">
        <f>IF(C6="","",ROUND(L6*K6*30%,0))</f>
        <v/>
      </c>
      <c r="R6" s="5">
        <f>IF(C6="","",M6+N6+O6+P6+Q6)</f>
        <v/>
      </c>
      <c r="S6" s="6">
        <f>IF(C6="","",G6+H6+I6+J6)</f>
        <v/>
      </c>
    </row>
    <row r="7">
      <c r="A7" s="2" t="n"/>
      <c r="B7" s="3" t="n"/>
      <c r="C7" s="3" t="n"/>
      <c r="D7" s="3" t="n"/>
      <c r="E7" s="4" t="n"/>
      <c r="F7" s="2" t="n"/>
      <c r="G7" s="2" t="n"/>
      <c r="H7" s="2" t="n"/>
      <c r="I7" s="2" t="n"/>
      <c r="J7" s="2" t="n"/>
      <c r="K7" s="2" t="n"/>
      <c r="L7" s="5">
        <f>IF(C7="","",IFERROR(ROUND(E7/(F7*8),0),0))</f>
        <v/>
      </c>
      <c r="M7" s="5">
        <f>IF(C7="","",ROUND(L7*G7*150%,0))</f>
        <v/>
      </c>
      <c r="N7" s="5">
        <f>IF(C7="","",ROUND(L7*H7*200%,0))</f>
        <v/>
      </c>
      <c r="O7" s="5">
        <f>IF(C7="","",ROUND(L7*I7*300%,0))</f>
        <v/>
      </c>
      <c r="P7" s="5">
        <f>IF(C7="","",ROUND(L7*J7*200%,0))</f>
        <v/>
      </c>
      <c r="Q7" s="5">
        <f>IF(C7="","",ROUND(L7*K7*30%,0))</f>
        <v/>
      </c>
      <c r="R7" s="5">
        <f>IF(C7="","",M7+N7+O7+P7+Q7)</f>
        <v/>
      </c>
      <c r="S7" s="6">
        <f>IF(C7="","",G7+H7+I7+J7)</f>
        <v/>
      </c>
    </row>
    <row r="8">
      <c r="A8" s="2" t="n"/>
      <c r="B8" s="3" t="n"/>
      <c r="C8" s="3" t="n"/>
      <c r="D8" s="3" t="n"/>
      <c r="E8" s="4" t="n"/>
      <c r="F8" s="2" t="n"/>
      <c r="G8" s="2" t="n"/>
      <c r="H8" s="2" t="n"/>
      <c r="I8" s="2" t="n"/>
      <c r="J8" s="2" t="n"/>
      <c r="K8" s="2" t="n"/>
      <c r="L8" s="5">
        <f>IF(C8="","",IFERROR(ROUND(E8/(F8*8),0),0))</f>
        <v/>
      </c>
      <c r="M8" s="5">
        <f>IF(C8="","",ROUND(L8*G8*150%,0))</f>
        <v/>
      </c>
      <c r="N8" s="5">
        <f>IF(C8="","",ROUND(L8*H8*200%,0))</f>
        <v/>
      </c>
      <c r="O8" s="5">
        <f>IF(C8="","",ROUND(L8*I8*300%,0))</f>
        <v/>
      </c>
      <c r="P8" s="5">
        <f>IF(C8="","",ROUND(L8*J8*200%,0))</f>
        <v/>
      </c>
      <c r="Q8" s="5">
        <f>IF(C8="","",ROUND(L8*K8*30%,0))</f>
        <v/>
      </c>
      <c r="R8" s="5">
        <f>IF(C8="","",M8+N8+O8+P8+Q8)</f>
        <v/>
      </c>
      <c r="S8" s="6">
        <f>IF(C8="","",G8+H8+I8+J8)</f>
        <v/>
      </c>
    </row>
    <row r="9">
      <c r="A9" s="2" t="n"/>
      <c r="B9" s="3" t="n"/>
      <c r="C9" s="3" t="n"/>
      <c r="D9" s="3" t="n"/>
      <c r="E9" s="4" t="n"/>
      <c r="F9" s="2" t="n"/>
      <c r="G9" s="2" t="n"/>
      <c r="H9" s="2" t="n"/>
      <c r="I9" s="2" t="n"/>
      <c r="J9" s="2" t="n"/>
      <c r="K9" s="2" t="n"/>
      <c r="L9" s="5">
        <f>IF(C9="","",IFERROR(ROUND(E9/(F9*8),0),0))</f>
        <v/>
      </c>
      <c r="M9" s="5">
        <f>IF(C9="","",ROUND(L9*G9*150%,0))</f>
        <v/>
      </c>
      <c r="N9" s="5">
        <f>IF(C9="","",ROUND(L9*H9*200%,0))</f>
        <v/>
      </c>
      <c r="O9" s="5">
        <f>IF(C9="","",ROUND(L9*I9*300%,0))</f>
        <v/>
      </c>
      <c r="P9" s="5">
        <f>IF(C9="","",ROUND(L9*J9*200%,0))</f>
        <v/>
      </c>
      <c r="Q9" s="5">
        <f>IF(C9="","",ROUND(L9*K9*30%,0))</f>
        <v/>
      </c>
      <c r="R9" s="5">
        <f>IF(C9="","",M9+N9+O9+P9+Q9)</f>
        <v/>
      </c>
      <c r="S9" s="6">
        <f>IF(C9="","",G9+H9+I9+J9)</f>
        <v/>
      </c>
    </row>
    <row r="10">
      <c r="A10" s="2" t="n"/>
      <c r="B10" s="3" t="n"/>
      <c r="C10" s="3" t="n"/>
      <c r="D10" s="3" t="n"/>
      <c r="E10" s="4" t="n"/>
      <c r="F10" s="2" t="n"/>
      <c r="G10" s="2" t="n"/>
      <c r="H10" s="2" t="n"/>
      <c r="I10" s="2" t="n"/>
      <c r="J10" s="2" t="n"/>
      <c r="K10" s="2" t="n"/>
      <c r="L10" s="5">
        <f>IF(C10="","",IFERROR(ROUND(E10/(F10*8),0),0))</f>
        <v/>
      </c>
      <c r="M10" s="5">
        <f>IF(C10="","",ROUND(L10*G10*150%,0))</f>
        <v/>
      </c>
      <c r="N10" s="5">
        <f>IF(C10="","",ROUND(L10*H10*200%,0))</f>
        <v/>
      </c>
      <c r="O10" s="5">
        <f>IF(C10="","",ROUND(L10*I10*300%,0))</f>
        <v/>
      </c>
      <c r="P10" s="5">
        <f>IF(C10="","",ROUND(L10*J10*200%,0))</f>
        <v/>
      </c>
      <c r="Q10" s="5">
        <f>IF(C10="","",ROUND(L10*K10*30%,0))</f>
        <v/>
      </c>
      <c r="R10" s="5">
        <f>IF(C10="","",M10+N10+O10+P10+Q10)</f>
        <v/>
      </c>
      <c r="S10" s="6">
        <f>IF(C10="","",G10+H10+I10+J10)</f>
        <v/>
      </c>
    </row>
    <row r="11">
      <c r="A11" s="2" t="n"/>
      <c r="B11" s="3" t="n"/>
      <c r="C11" s="3" t="n"/>
      <c r="D11" s="3" t="n"/>
      <c r="E11" s="4" t="n"/>
      <c r="F11" s="2" t="n"/>
      <c r="G11" s="2" t="n"/>
      <c r="H11" s="2" t="n"/>
      <c r="I11" s="2" t="n"/>
      <c r="J11" s="2" t="n"/>
      <c r="K11" s="2" t="n"/>
      <c r="L11" s="5">
        <f>IF(C11="","",IFERROR(ROUND(E11/(F11*8),0),0))</f>
        <v/>
      </c>
      <c r="M11" s="5">
        <f>IF(C11="","",ROUND(L11*G11*150%,0))</f>
        <v/>
      </c>
      <c r="N11" s="5">
        <f>IF(C11="","",ROUND(L11*H11*200%,0))</f>
        <v/>
      </c>
      <c r="O11" s="5">
        <f>IF(C11="","",ROUND(L11*I11*300%,0))</f>
        <v/>
      </c>
      <c r="P11" s="5">
        <f>IF(C11="","",ROUND(L11*J11*200%,0))</f>
        <v/>
      </c>
      <c r="Q11" s="5">
        <f>IF(C11="","",ROUND(L11*K11*30%,0))</f>
        <v/>
      </c>
      <c r="R11" s="5">
        <f>IF(C11="","",M11+N11+O11+P11+Q11)</f>
        <v/>
      </c>
      <c r="S11" s="6">
        <f>IF(C11="","",G11+H11+I11+J11)</f>
        <v/>
      </c>
    </row>
    <row r="12">
      <c r="A12" s="2" t="n"/>
      <c r="B12" s="3" t="n"/>
      <c r="C12" s="3" t="n"/>
      <c r="D12" s="3" t="n"/>
      <c r="E12" s="4" t="n"/>
      <c r="F12" s="2" t="n"/>
      <c r="G12" s="2" t="n"/>
      <c r="H12" s="2" t="n"/>
      <c r="I12" s="2" t="n"/>
      <c r="J12" s="2" t="n"/>
      <c r="K12" s="2" t="n"/>
      <c r="L12" s="5">
        <f>IF(C12="","",IFERROR(ROUND(E12/(F12*8),0),0))</f>
        <v/>
      </c>
      <c r="M12" s="5">
        <f>IF(C12="","",ROUND(L12*G12*150%,0))</f>
        <v/>
      </c>
      <c r="N12" s="5">
        <f>IF(C12="","",ROUND(L12*H12*200%,0))</f>
        <v/>
      </c>
      <c r="O12" s="5">
        <f>IF(C12="","",ROUND(L12*I12*300%,0))</f>
        <v/>
      </c>
      <c r="P12" s="5">
        <f>IF(C12="","",ROUND(L12*J12*200%,0))</f>
        <v/>
      </c>
      <c r="Q12" s="5">
        <f>IF(C12="","",ROUND(L12*K12*30%,0))</f>
        <v/>
      </c>
      <c r="R12" s="5">
        <f>IF(C12="","",M12+N12+O12+P12+Q12)</f>
        <v/>
      </c>
      <c r="S12" s="6">
        <f>IF(C12="","",G12+H12+I12+J12)</f>
        <v/>
      </c>
    </row>
    <row r="13">
      <c r="A13" s="2" t="n"/>
      <c r="B13" s="3" t="n"/>
      <c r="C13" s="3" t="n"/>
      <c r="D13" s="3" t="n"/>
      <c r="E13" s="4" t="n"/>
      <c r="F13" s="2" t="n"/>
      <c r="G13" s="2" t="n"/>
      <c r="H13" s="2" t="n"/>
      <c r="I13" s="2" t="n"/>
      <c r="J13" s="2" t="n"/>
      <c r="K13" s="2" t="n"/>
      <c r="L13" s="5">
        <f>IF(C13="","",IFERROR(ROUND(E13/(F13*8),0),0))</f>
        <v/>
      </c>
      <c r="M13" s="5">
        <f>IF(C13="","",ROUND(L13*G13*150%,0))</f>
        <v/>
      </c>
      <c r="N13" s="5">
        <f>IF(C13="","",ROUND(L13*H13*200%,0))</f>
        <v/>
      </c>
      <c r="O13" s="5">
        <f>IF(C13="","",ROUND(L13*I13*300%,0))</f>
        <v/>
      </c>
      <c r="P13" s="5">
        <f>IF(C13="","",ROUND(L13*J13*200%,0))</f>
        <v/>
      </c>
      <c r="Q13" s="5">
        <f>IF(C13="","",ROUND(L13*K13*30%,0))</f>
        <v/>
      </c>
      <c r="R13" s="5">
        <f>IF(C13="","",M13+N13+O13+P13+Q13)</f>
        <v/>
      </c>
      <c r="S13" s="6">
        <f>IF(C13="","",G13+H13+I13+J13)</f>
        <v/>
      </c>
    </row>
    <row r="14">
      <c r="A14" s="2" t="n"/>
      <c r="B14" s="3" t="n"/>
      <c r="C14" s="3" t="n"/>
      <c r="D14" s="3" t="n"/>
      <c r="E14" s="4" t="n"/>
      <c r="F14" s="2" t="n"/>
      <c r="G14" s="2" t="n"/>
      <c r="H14" s="2" t="n"/>
      <c r="I14" s="2" t="n"/>
      <c r="J14" s="2" t="n"/>
      <c r="K14" s="2" t="n"/>
      <c r="L14" s="5">
        <f>IF(C14="","",IFERROR(ROUND(E14/(F14*8),0),0))</f>
        <v/>
      </c>
      <c r="M14" s="5">
        <f>IF(C14="","",ROUND(L14*G14*150%,0))</f>
        <v/>
      </c>
      <c r="N14" s="5">
        <f>IF(C14="","",ROUND(L14*H14*200%,0))</f>
        <v/>
      </c>
      <c r="O14" s="5">
        <f>IF(C14="","",ROUND(L14*I14*300%,0))</f>
        <v/>
      </c>
      <c r="P14" s="5">
        <f>IF(C14="","",ROUND(L14*J14*200%,0))</f>
        <v/>
      </c>
      <c r="Q14" s="5">
        <f>IF(C14="","",ROUND(L14*K14*30%,0))</f>
        <v/>
      </c>
      <c r="R14" s="5">
        <f>IF(C14="","",M14+N14+O14+P14+Q14)</f>
        <v/>
      </c>
      <c r="S14" s="6">
        <f>IF(C14="","",G14+H14+I14+J14)</f>
        <v/>
      </c>
    </row>
    <row r="15">
      <c r="A15" s="2" t="n"/>
      <c r="B15" s="3" t="n"/>
      <c r="C15" s="3" t="n"/>
      <c r="D15" s="3" t="n"/>
      <c r="E15" s="4" t="n"/>
      <c r="F15" s="2" t="n"/>
      <c r="G15" s="2" t="n"/>
      <c r="H15" s="2" t="n"/>
      <c r="I15" s="2" t="n"/>
      <c r="J15" s="2" t="n"/>
      <c r="K15" s="2" t="n"/>
      <c r="L15" s="5">
        <f>IF(C15="","",IFERROR(ROUND(E15/(F15*8),0),0))</f>
        <v/>
      </c>
      <c r="M15" s="5">
        <f>IF(C15="","",ROUND(L15*G15*150%,0))</f>
        <v/>
      </c>
      <c r="N15" s="5">
        <f>IF(C15="","",ROUND(L15*H15*200%,0))</f>
        <v/>
      </c>
      <c r="O15" s="5">
        <f>IF(C15="","",ROUND(L15*I15*300%,0))</f>
        <v/>
      </c>
      <c r="P15" s="5">
        <f>IF(C15="","",ROUND(L15*J15*200%,0))</f>
        <v/>
      </c>
      <c r="Q15" s="5">
        <f>IF(C15="","",ROUND(L15*K15*30%,0))</f>
        <v/>
      </c>
      <c r="R15" s="5">
        <f>IF(C15="","",M15+N15+O15+P15+Q15)</f>
        <v/>
      </c>
      <c r="S15" s="6">
        <f>IF(C15="","",G15+H15+I15+J15)</f>
        <v/>
      </c>
    </row>
    <row r="16">
      <c r="A16" s="2" t="n"/>
      <c r="B16" s="3" t="n"/>
      <c r="C16" s="3" t="n"/>
      <c r="D16" s="3" t="n"/>
      <c r="E16" s="4" t="n"/>
      <c r="F16" s="2" t="n"/>
      <c r="G16" s="2" t="n"/>
      <c r="H16" s="2" t="n"/>
      <c r="I16" s="2" t="n"/>
      <c r="J16" s="2" t="n"/>
      <c r="K16" s="2" t="n"/>
      <c r="L16" s="5">
        <f>IF(C16="","",IFERROR(ROUND(E16/(F16*8),0),0))</f>
        <v/>
      </c>
      <c r="M16" s="5">
        <f>IF(C16="","",ROUND(L16*G16*150%,0))</f>
        <v/>
      </c>
      <c r="N16" s="5">
        <f>IF(C16="","",ROUND(L16*H16*200%,0))</f>
        <v/>
      </c>
      <c r="O16" s="5">
        <f>IF(C16="","",ROUND(L16*I16*300%,0))</f>
        <v/>
      </c>
      <c r="P16" s="5">
        <f>IF(C16="","",ROUND(L16*J16*200%,0))</f>
        <v/>
      </c>
      <c r="Q16" s="5">
        <f>IF(C16="","",ROUND(L16*K16*30%,0))</f>
        <v/>
      </c>
      <c r="R16" s="5">
        <f>IF(C16="","",M16+N16+O16+P16+Q16)</f>
        <v/>
      </c>
      <c r="S16" s="6">
        <f>IF(C16="","",G16+H16+I16+J16)</f>
        <v/>
      </c>
    </row>
    <row r="17">
      <c r="A17" s="2" t="n"/>
      <c r="B17" s="3" t="n"/>
      <c r="C17" s="3" t="n"/>
      <c r="D17" s="3" t="n"/>
      <c r="E17" s="4" t="n"/>
      <c r="F17" s="2" t="n"/>
      <c r="G17" s="2" t="n"/>
      <c r="H17" s="2" t="n"/>
      <c r="I17" s="2" t="n"/>
      <c r="J17" s="2" t="n"/>
      <c r="K17" s="2" t="n"/>
      <c r="L17" s="5">
        <f>IF(C17="","",IFERROR(ROUND(E17/(F17*8),0),0))</f>
        <v/>
      </c>
      <c r="M17" s="5">
        <f>IF(C17="","",ROUND(L17*G17*150%,0))</f>
        <v/>
      </c>
      <c r="N17" s="5">
        <f>IF(C17="","",ROUND(L17*H17*200%,0))</f>
        <v/>
      </c>
      <c r="O17" s="5">
        <f>IF(C17="","",ROUND(L17*I17*300%,0))</f>
        <v/>
      </c>
      <c r="P17" s="5">
        <f>IF(C17="","",ROUND(L17*J17*200%,0))</f>
        <v/>
      </c>
      <c r="Q17" s="5">
        <f>IF(C17="","",ROUND(L17*K17*30%,0))</f>
        <v/>
      </c>
      <c r="R17" s="5">
        <f>IF(C17="","",M17+N17+O17+P17+Q17)</f>
        <v/>
      </c>
      <c r="S17" s="6">
        <f>IF(C17="","",G17+H17+I17+J17)</f>
        <v/>
      </c>
    </row>
    <row r="18">
      <c r="A18" s="2" t="n"/>
      <c r="B18" s="3" t="n"/>
      <c r="C18" s="3" t="n"/>
      <c r="D18" s="3" t="n"/>
      <c r="E18" s="4" t="n"/>
      <c r="F18" s="2" t="n"/>
      <c r="G18" s="2" t="n"/>
      <c r="H18" s="2" t="n"/>
      <c r="I18" s="2" t="n"/>
      <c r="J18" s="2" t="n"/>
      <c r="K18" s="2" t="n"/>
      <c r="L18" s="5">
        <f>IF(C18="","",IFERROR(ROUND(E18/(F18*8),0),0))</f>
        <v/>
      </c>
      <c r="M18" s="5">
        <f>IF(C18="","",ROUND(L18*G18*150%,0))</f>
        <v/>
      </c>
      <c r="N18" s="5">
        <f>IF(C18="","",ROUND(L18*H18*200%,0))</f>
        <v/>
      </c>
      <c r="O18" s="5">
        <f>IF(C18="","",ROUND(L18*I18*300%,0))</f>
        <v/>
      </c>
      <c r="P18" s="5">
        <f>IF(C18="","",ROUND(L18*J18*200%,0))</f>
        <v/>
      </c>
      <c r="Q18" s="5">
        <f>IF(C18="","",ROUND(L18*K18*30%,0))</f>
        <v/>
      </c>
      <c r="R18" s="5">
        <f>IF(C18="","",M18+N18+O18+P18+Q18)</f>
        <v/>
      </c>
      <c r="S18" s="6">
        <f>IF(C18="","",G18+H18+I18+J18)</f>
        <v/>
      </c>
    </row>
    <row r="19">
      <c r="A19" s="2" t="n"/>
      <c r="B19" s="3" t="n"/>
      <c r="C19" s="3" t="n"/>
      <c r="D19" s="3" t="n"/>
      <c r="E19" s="4" t="n"/>
      <c r="F19" s="2" t="n"/>
      <c r="G19" s="2" t="n"/>
      <c r="H19" s="2" t="n"/>
      <c r="I19" s="2" t="n"/>
      <c r="J19" s="2" t="n"/>
      <c r="K19" s="2" t="n"/>
      <c r="L19" s="5">
        <f>IF(C19="","",IFERROR(ROUND(E19/(F19*8),0),0))</f>
        <v/>
      </c>
      <c r="M19" s="5">
        <f>IF(C19="","",ROUND(L19*G19*150%,0))</f>
        <v/>
      </c>
      <c r="N19" s="5">
        <f>IF(C19="","",ROUND(L19*H19*200%,0))</f>
        <v/>
      </c>
      <c r="O19" s="5">
        <f>IF(C19="","",ROUND(L19*I19*300%,0))</f>
        <v/>
      </c>
      <c r="P19" s="5">
        <f>IF(C19="","",ROUND(L19*J19*200%,0))</f>
        <v/>
      </c>
      <c r="Q19" s="5">
        <f>IF(C19="","",ROUND(L19*K19*30%,0))</f>
        <v/>
      </c>
      <c r="R19" s="5">
        <f>IF(C19="","",M19+N19+O19+P19+Q19)</f>
        <v/>
      </c>
      <c r="S19" s="6">
        <f>IF(C19="","",G19+H19+I19+J19)</f>
        <v/>
      </c>
    </row>
    <row r="20">
      <c r="A20" s="2" t="n"/>
      <c r="B20" s="3" t="n"/>
      <c r="C20" s="3" t="n"/>
      <c r="D20" s="3" t="n"/>
      <c r="E20" s="4" t="n"/>
      <c r="F20" s="2" t="n"/>
      <c r="G20" s="2" t="n"/>
      <c r="H20" s="2" t="n"/>
      <c r="I20" s="2" t="n"/>
      <c r="J20" s="2" t="n"/>
      <c r="K20" s="2" t="n"/>
      <c r="L20" s="5">
        <f>IF(C20="","",IFERROR(ROUND(E20/(F20*8),0),0))</f>
        <v/>
      </c>
      <c r="M20" s="5">
        <f>IF(C20="","",ROUND(L20*G20*150%,0))</f>
        <v/>
      </c>
      <c r="N20" s="5">
        <f>IF(C20="","",ROUND(L20*H20*200%,0))</f>
        <v/>
      </c>
      <c r="O20" s="5">
        <f>IF(C20="","",ROUND(L20*I20*300%,0))</f>
        <v/>
      </c>
      <c r="P20" s="5">
        <f>IF(C20="","",ROUND(L20*J20*200%,0))</f>
        <v/>
      </c>
      <c r="Q20" s="5">
        <f>IF(C20="","",ROUND(L20*K20*30%,0))</f>
        <v/>
      </c>
      <c r="R20" s="5">
        <f>IF(C20="","",M20+N20+O20+P20+Q20)</f>
        <v/>
      </c>
      <c r="S20" s="6">
        <f>IF(C20="","",G20+H20+I20+J20)</f>
        <v/>
      </c>
    </row>
    <row r="21">
      <c r="A21" s="2" t="n"/>
      <c r="B21" s="3" t="n"/>
      <c r="C21" s="3" t="n"/>
      <c r="D21" s="3" t="n"/>
      <c r="E21" s="4" t="n"/>
      <c r="F21" s="2" t="n"/>
      <c r="G21" s="2" t="n"/>
      <c r="H21" s="2" t="n"/>
      <c r="I21" s="2" t="n"/>
      <c r="J21" s="2" t="n"/>
      <c r="K21" s="2" t="n"/>
      <c r="L21" s="5">
        <f>IF(C21="","",IFERROR(ROUND(E21/(F21*8),0),0))</f>
        <v/>
      </c>
      <c r="M21" s="5">
        <f>IF(C21="","",ROUND(L21*G21*150%,0))</f>
        <v/>
      </c>
      <c r="N21" s="5">
        <f>IF(C21="","",ROUND(L21*H21*200%,0))</f>
        <v/>
      </c>
      <c r="O21" s="5">
        <f>IF(C21="","",ROUND(L21*I21*300%,0))</f>
        <v/>
      </c>
      <c r="P21" s="5">
        <f>IF(C21="","",ROUND(L21*J21*200%,0))</f>
        <v/>
      </c>
      <c r="Q21" s="5">
        <f>IF(C21="","",ROUND(L21*K21*30%,0))</f>
        <v/>
      </c>
      <c r="R21" s="5">
        <f>IF(C21="","",M21+N21+O21+P21+Q21)</f>
        <v/>
      </c>
      <c r="S21" s="6">
        <f>IF(C21="","",G21+H21+I21+J21)</f>
        <v/>
      </c>
    </row>
    <row r="22">
      <c r="A22" s="2" t="n"/>
      <c r="B22" s="3" t="n"/>
      <c r="C22" s="3" t="n"/>
      <c r="D22" s="3" t="n"/>
      <c r="E22" s="4" t="n"/>
      <c r="F22" s="2" t="n"/>
      <c r="G22" s="2" t="n"/>
      <c r="H22" s="2" t="n"/>
      <c r="I22" s="2" t="n"/>
      <c r="J22" s="2" t="n"/>
      <c r="K22" s="2" t="n"/>
      <c r="L22" s="5">
        <f>IF(C22="","",IFERROR(ROUND(E22/(F22*8),0),0))</f>
        <v/>
      </c>
      <c r="M22" s="5">
        <f>IF(C22="","",ROUND(L22*G22*150%,0))</f>
        <v/>
      </c>
      <c r="N22" s="5">
        <f>IF(C22="","",ROUND(L22*H22*200%,0))</f>
        <v/>
      </c>
      <c r="O22" s="5">
        <f>IF(C22="","",ROUND(L22*I22*300%,0))</f>
        <v/>
      </c>
      <c r="P22" s="5">
        <f>IF(C22="","",ROUND(L22*J22*200%,0))</f>
        <v/>
      </c>
      <c r="Q22" s="5">
        <f>IF(C22="","",ROUND(L22*K22*30%,0))</f>
        <v/>
      </c>
      <c r="R22" s="5">
        <f>IF(C22="","",M22+N22+O22+P22+Q22)</f>
        <v/>
      </c>
      <c r="S22" s="6">
        <f>IF(C22="","",G22+H22+I22+J22)</f>
        <v/>
      </c>
    </row>
    <row r="23">
      <c r="A23" s="2" t="n"/>
      <c r="B23" s="3" t="n"/>
      <c r="C23" s="3" t="n"/>
      <c r="D23" s="3" t="n"/>
      <c r="E23" s="4" t="n"/>
      <c r="F23" s="2" t="n"/>
      <c r="G23" s="2" t="n"/>
      <c r="H23" s="2" t="n"/>
      <c r="I23" s="2" t="n"/>
      <c r="J23" s="2" t="n"/>
      <c r="K23" s="2" t="n"/>
      <c r="L23" s="5">
        <f>IF(C23="","",IFERROR(ROUND(E23/(F23*8),0),0))</f>
        <v/>
      </c>
      <c r="M23" s="5">
        <f>IF(C23="","",ROUND(L23*G23*150%,0))</f>
        <v/>
      </c>
      <c r="N23" s="5">
        <f>IF(C23="","",ROUND(L23*H23*200%,0))</f>
        <v/>
      </c>
      <c r="O23" s="5">
        <f>IF(C23="","",ROUND(L23*I23*300%,0))</f>
        <v/>
      </c>
      <c r="P23" s="5">
        <f>IF(C23="","",ROUND(L23*J23*200%,0))</f>
        <v/>
      </c>
      <c r="Q23" s="5">
        <f>IF(C23="","",ROUND(L23*K23*30%,0))</f>
        <v/>
      </c>
      <c r="R23" s="5">
        <f>IF(C23="","",M23+N23+O23+P23+Q23)</f>
        <v/>
      </c>
      <c r="S23" s="6">
        <f>IF(C23="","",G23+H23+I23+J23)</f>
        <v/>
      </c>
    </row>
    <row r="24">
      <c r="A24" s="2" t="n"/>
      <c r="B24" s="3" t="n"/>
      <c r="C24" s="3" t="n"/>
      <c r="D24" s="3" t="n"/>
      <c r="E24" s="4" t="n"/>
      <c r="F24" s="2" t="n"/>
      <c r="G24" s="2" t="n"/>
      <c r="H24" s="2" t="n"/>
      <c r="I24" s="2" t="n"/>
      <c r="J24" s="2" t="n"/>
      <c r="K24" s="2" t="n"/>
      <c r="L24" s="5">
        <f>IF(C24="","",IFERROR(ROUND(E24/(F24*8),0),0))</f>
        <v/>
      </c>
      <c r="M24" s="5">
        <f>IF(C24="","",ROUND(L24*G24*150%,0))</f>
        <v/>
      </c>
      <c r="N24" s="5">
        <f>IF(C24="","",ROUND(L24*H24*200%,0))</f>
        <v/>
      </c>
      <c r="O24" s="5">
        <f>IF(C24="","",ROUND(L24*I24*300%,0))</f>
        <v/>
      </c>
      <c r="P24" s="5">
        <f>IF(C24="","",ROUND(L24*J24*200%,0))</f>
        <v/>
      </c>
      <c r="Q24" s="5">
        <f>IF(C24="","",ROUND(L24*K24*30%,0))</f>
        <v/>
      </c>
      <c r="R24" s="5">
        <f>IF(C24="","",M24+N24+O24+P24+Q24)</f>
        <v/>
      </c>
      <c r="S24" s="6">
        <f>IF(C24="","",G24+H24+I24+J24)</f>
        <v/>
      </c>
    </row>
    <row r="25">
      <c r="A25" s="2" t="n"/>
      <c r="B25" s="3" t="n"/>
      <c r="C25" s="3" t="n"/>
      <c r="D25" s="3" t="n"/>
      <c r="E25" s="4" t="n"/>
      <c r="F25" s="2" t="n"/>
      <c r="G25" s="2" t="n"/>
      <c r="H25" s="2" t="n"/>
      <c r="I25" s="2" t="n"/>
      <c r="J25" s="2" t="n"/>
      <c r="K25" s="2" t="n"/>
      <c r="L25" s="5">
        <f>IF(C25="","",IFERROR(ROUND(E25/(F25*8),0),0))</f>
        <v/>
      </c>
      <c r="M25" s="5">
        <f>IF(C25="","",ROUND(L25*G25*150%,0))</f>
        <v/>
      </c>
      <c r="N25" s="5">
        <f>IF(C25="","",ROUND(L25*H25*200%,0))</f>
        <v/>
      </c>
      <c r="O25" s="5">
        <f>IF(C25="","",ROUND(L25*I25*300%,0))</f>
        <v/>
      </c>
      <c r="P25" s="5">
        <f>IF(C25="","",ROUND(L25*J25*200%,0))</f>
        <v/>
      </c>
      <c r="Q25" s="5">
        <f>IF(C25="","",ROUND(L25*K25*30%,0))</f>
        <v/>
      </c>
      <c r="R25" s="5">
        <f>IF(C25="","",M25+N25+O25+P25+Q25)</f>
        <v/>
      </c>
      <c r="S25" s="6">
        <f>IF(C25="","",G25+H25+I25+J25)</f>
        <v/>
      </c>
    </row>
    <row r="26">
      <c r="A26" s="2" t="n"/>
      <c r="B26" s="3" t="n"/>
      <c r="C26" s="3" t="n"/>
      <c r="D26" s="3" t="n"/>
      <c r="E26" s="4" t="n"/>
      <c r="F26" s="2" t="n"/>
      <c r="G26" s="2" t="n"/>
      <c r="H26" s="2" t="n"/>
      <c r="I26" s="2" t="n"/>
      <c r="J26" s="2" t="n"/>
      <c r="K26" s="2" t="n"/>
      <c r="L26" s="5">
        <f>IF(C26="","",IFERROR(ROUND(E26/(F26*8),0),0))</f>
        <v/>
      </c>
      <c r="M26" s="5">
        <f>IF(C26="","",ROUND(L26*G26*150%,0))</f>
        <v/>
      </c>
      <c r="N26" s="5">
        <f>IF(C26="","",ROUND(L26*H26*200%,0))</f>
        <v/>
      </c>
      <c r="O26" s="5">
        <f>IF(C26="","",ROUND(L26*I26*300%,0))</f>
        <v/>
      </c>
      <c r="P26" s="5">
        <f>IF(C26="","",ROUND(L26*J26*200%,0))</f>
        <v/>
      </c>
      <c r="Q26" s="5">
        <f>IF(C26="","",ROUND(L26*K26*30%,0))</f>
        <v/>
      </c>
      <c r="R26" s="5">
        <f>IF(C26="","",M26+N26+O26+P26+Q26)</f>
        <v/>
      </c>
      <c r="S26" s="6">
        <f>IF(C26="","",G26+H26+I26+J26)</f>
        <v/>
      </c>
    </row>
    <row r="27">
      <c r="A27" s="2" t="n"/>
      <c r="B27" s="3" t="n"/>
      <c r="C27" s="3" t="n"/>
      <c r="D27" s="3" t="n"/>
      <c r="E27" s="4" t="n"/>
      <c r="F27" s="2" t="n"/>
      <c r="G27" s="2" t="n"/>
      <c r="H27" s="2" t="n"/>
      <c r="I27" s="2" t="n"/>
      <c r="J27" s="2" t="n"/>
      <c r="K27" s="2" t="n"/>
      <c r="L27" s="5">
        <f>IF(C27="","",IFERROR(ROUND(E27/(F27*8),0),0))</f>
        <v/>
      </c>
      <c r="M27" s="5">
        <f>IF(C27="","",ROUND(L27*G27*150%,0))</f>
        <v/>
      </c>
      <c r="N27" s="5">
        <f>IF(C27="","",ROUND(L27*H27*200%,0))</f>
        <v/>
      </c>
      <c r="O27" s="5">
        <f>IF(C27="","",ROUND(L27*I27*300%,0))</f>
        <v/>
      </c>
      <c r="P27" s="5">
        <f>IF(C27="","",ROUND(L27*J27*200%,0))</f>
        <v/>
      </c>
      <c r="Q27" s="5">
        <f>IF(C27="","",ROUND(L27*K27*30%,0))</f>
        <v/>
      </c>
      <c r="R27" s="5">
        <f>IF(C27="","",M27+N27+O27+P27+Q27)</f>
        <v/>
      </c>
      <c r="S27" s="6">
        <f>IF(C27="","",G27+H27+I27+J27)</f>
        <v/>
      </c>
    </row>
    <row r="28">
      <c r="A28" s="2" t="n"/>
      <c r="B28" s="3" t="n"/>
      <c r="C28" s="3" t="n"/>
      <c r="D28" s="3" t="n"/>
      <c r="E28" s="4" t="n"/>
      <c r="F28" s="2" t="n"/>
      <c r="G28" s="2" t="n"/>
      <c r="H28" s="2" t="n"/>
      <c r="I28" s="2" t="n"/>
      <c r="J28" s="2" t="n"/>
      <c r="K28" s="2" t="n"/>
      <c r="L28" s="5">
        <f>IF(C28="","",IFERROR(ROUND(E28/(F28*8),0),0))</f>
        <v/>
      </c>
      <c r="M28" s="5">
        <f>IF(C28="","",ROUND(L28*G28*150%,0))</f>
        <v/>
      </c>
      <c r="N28" s="5">
        <f>IF(C28="","",ROUND(L28*H28*200%,0))</f>
        <v/>
      </c>
      <c r="O28" s="5">
        <f>IF(C28="","",ROUND(L28*I28*300%,0))</f>
        <v/>
      </c>
      <c r="P28" s="5">
        <f>IF(C28="","",ROUND(L28*J28*200%,0))</f>
        <v/>
      </c>
      <c r="Q28" s="5">
        <f>IF(C28="","",ROUND(L28*K28*30%,0))</f>
        <v/>
      </c>
      <c r="R28" s="5">
        <f>IF(C28="","",M28+N28+O28+P28+Q28)</f>
        <v/>
      </c>
      <c r="S28" s="6">
        <f>IF(C28="","",G28+H28+I28+J28)</f>
        <v/>
      </c>
    </row>
    <row r="29">
      <c r="A29" s="2" t="n"/>
      <c r="B29" s="3" t="n"/>
      <c r="C29" s="3" t="n"/>
      <c r="D29" s="3" t="n"/>
      <c r="E29" s="4" t="n"/>
      <c r="F29" s="2" t="n"/>
      <c r="G29" s="2" t="n"/>
      <c r="H29" s="2" t="n"/>
      <c r="I29" s="2" t="n"/>
      <c r="J29" s="2" t="n"/>
      <c r="K29" s="2" t="n"/>
      <c r="L29" s="5">
        <f>IF(C29="","",IFERROR(ROUND(E29/(F29*8),0),0))</f>
        <v/>
      </c>
      <c r="M29" s="5">
        <f>IF(C29="","",ROUND(L29*G29*150%,0))</f>
        <v/>
      </c>
      <c r="N29" s="5">
        <f>IF(C29="","",ROUND(L29*H29*200%,0))</f>
        <v/>
      </c>
      <c r="O29" s="5">
        <f>IF(C29="","",ROUND(L29*I29*300%,0))</f>
        <v/>
      </c>
      <c r="P29" s="5">
        <f>IF(C29="","",ROUND(L29*J29*200%,0))</f>
        <v/>
      </c>
      <c r="Q29" s="5">
        <f>IF(C29="","",ROUND(L29*K29*30%,0))</f>
        <v/>
      </c>
      <c r="R29" s="5">
        <f>IF(C29="","",M29+N29+O29+P29+Q29)</f>
        <v/>
      </c>
      <c r="S29" s="6">
        <f>IF(C29="","",G29+H29+I29+J29)</f>
        <v/>
      </c>
    </row>
    <row r="30">
      <c r="A30" s="2" t="n"/>
      <c r="B30" s="3" t="n"/>
      <c r="C30" s="3" t="n"/>
      <c r="D30" s="3" t="n"/>
      <c r="E30" s="4" t="n"/>
      <c r="F30" s="2" t="n"/>
      <c r="G30" s="2" t="n"/>
      <c r="H30" s="2" t="n"/>
      <c r="I30" s="2" t="n"/>
      <c r="J30" s="2" t="n"/>
      <c r="K30" s="2" t="n"/>
      <c r="L30" s="5">
        <f>IF(C30="","",IFERROR(ROUND(E30/(F30*8),0),0))</f>
        <v/>
      </c>
      <c r="M30" s="5">
        <f>IF(C30="","",ROUND(L30*G30*150%,0))</f>
        <v/>
      </c>
      <c r="N30" s="5">
        <f>IF(C30="","",ROUND(L30*H30*200%,0))</f>
        <v/>
      </c>
      <c r="O30" s="5">
        <f>IF(C30="","",ROUND(L30*I30*300%,0))</f>
        <v/>
      </c>
      <c r="P30" s="5">
        <f>IF(C30="","",ROUND(L30*J30*200%,0))</f>
        <v/>
      </c>
      <c r="Q30" s="5">
        <f>IF(C30="","",ROUND(L30*K30*30%,0))</f>
        <v/>
      </c>
      <c r="R30" s="5">
        <f>IF(C30="","",M30+N30+O30+P30+Q30)</f>
        <v/>
      </c>
      <c r="S30" s="6">
        <f>IF(C30="","",G30+H30+I30+J30)</f>
        <v/>
      </c>
    </row>
    <row r="31">
      <c r="A31" s="2" t="n"/>
      <c r="B31" s="3" t="n"/>
      <c r="C31" s="3" t="n"/>
      <c r="D31" s="3" t="n"/>
      <c r="E31" s="4" t="n"/>
      <c r="F31" s="2" t="n"/>
      <c r="G31" s="2" t="n"/>
      <c r="H31" s="2" t="n"/>
      <c r="I31" s="2" t="n"/>
      <c r="J31" s="2" t="n"/>
      <c r="K31" s="2" t="n"/>
      <c r="L31" s="5">
        <f>IF(C31="","",IFERROR(ROUND(E31/(F31*8),0),0))</f>
        <v/>
      </c>
      <c r="M31" s="5">
        <f>IF(C31="","",ROUND(L31*G31*150%,0))</f>
        <v/>
      </c>
      <c r="N31" s="5">
        <f>IF(C31="","",ROUND(L31*H31*200%,0))</f>
        <v/>
      </c>
      <c r="O31" s="5">
        <f>IF(C31="","",ROUND(L31*I31*300%,0))</f>
        <v/>
      </c>
      <c r="P31" s="5">
        <f>IF(C31="","",ROUND(L31*J31*200%,0))</f>
        <v/>
      </c>
      <c r="Q31" s="5">
        <f>IF(C31="","",ROUND(L31*K31*30%,0))</f>
        <v/>
      </c>
      <c r="R31" s="5">
        <f>IF(C31="","",M31+N31+O31+P31+Q31)</f>
        <v/>
      </c>
      <c r="S31" s="6">
        <f>IF(C31="","",G31+H31+I31+J31)</f>
        <v/>
      </c>
    </row>
  </sheetData>
  <autoFilter ref="A1:S31"/>
  <dataValidations count="7">
    <dataValidation sqref="D2:D31" showDropDown="0" showInputMessage="0" showErrorMessage="0" allowBlank="1" errorTitle="Sai định dạng" error="Giá trị không hợp lệ cho cột này." type="list">
      <formula1>"Kinh doanh,Kế toán,Nhân sự,Kỹ thuật,Kho vận"</formula1>
    </dataValidation>
    <dataValidation sqref="F2:F31" showDropDown="0" showInputMessage="0" showErrorMessage="0" allowBlank="1" errorTitle="Sai định dạng" error="Giá trị không hợp lệ cho cột này." type="decimal" operator="between">
      <formula1>1</formula1>
      <formula2>31</formula2>
    </dataValidation>
    <dataValidation sqref="G2:G31" showDropDown="0" showInputMessage="0" showErrorMessage="0" allowBlank="1" errorTitle="Sai định dạng" error="Giá trị không hợp lệ cho cột này." type="decimal" operator="between">
      <formula1>0</formula1>
      <formula2>200</formula2>
    </dataValidation>
    <dataValidation sqref="H2:H31" showDropDown="0" showInputMessage="0" showErrorMessage="0" allowBlank="1" errorTitle="Sai định dạng" error="Giá trị không hợp lệ cho cột này." type="decimal" operator="between">
      <formula1>0</formula1>
      <formula2>200</formula2>
    </dataValidation>
    <dataValidation sqref="I2:I31" showDropDown="0" showInputMessage="0" showErrorMessage="0" allowBlank="1" errorTitle="Sai định dạng" error="Giá trị không hợp lệ cho cột này." type="decimal" operator="between">
      <formula1>0</formula1>
      <formula2>200</formula2>
    </dataValidation>
    <dataValidation sqref="J2:J31" showDropDown="0" showInputMessage="0" showErrorMessage="0" allowBlank="1" errorTitle="Sai định dạng" error="Giá trị không hợp lệ cho cột này." type="decimal" operator="between">
      <formula1>0</formula1>
      <formula2>200</formula2>
    </dataValidation>
    <dataValidation sqref="K2:K31" showDropDown="0" showInputMessage="0" showErrorMessage="0" allowBlank="1" errorTitle="Sai định dạng" error="Giá trị không hợp lệ cho cột này." type="decimal" operator="between">
      <formula1>0</formula1>
      <formula2>200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34"/>
  <sheetViews>
    <sheetView workbookViewId="0">
      <selection activeCell="A1" sqref="A1"/>
    </sheetView>
  </sheetViews>
  <sheetFormatPr baseColWidth="8" defaultRowHeight="15"/>
  <cols>
    <col width="4" customWidth="1" min="1" max="1"/>
    <col width="100" customWidth="1" min="2" max="2"/>
  </cols>
  <sheetData>
    <row r="1">
      <c r="B1" s="7" t="inlineStr">
        <is>
          <t>Mẫu Excel tính lương làm thêm giờ theo đúng bốn mức 150%, 200%, 300%</t>
        </is>
      </c>
    </row>
    <row r="2">
      <c r="B2" s="8" t="inlineStr"/>
    </row>
    <row r="3">
      <c r="B3" s="9" t="inlineStr">
        <is>
          <t>CÁCH DÙNG</t>
        </is>
      </c>
    </row>
    <row r="4">
      <c r="B4" s="10" t="inlineStr">
        <is>
          <t>1. Nhập lương tháng và công chuẩn trước</t>
        </is>
      </c>
    </row>
    <row r="5">
      <c r="B5" s="8" t="inlineStr">
        <is>
          <t xml:space="preserve">   Đơn giá giờ bằng lương tháng chia công chuẩn rồi chia 8. Lương tháng ở đây là lương ghi trong hợp đồng dùng làm căn cứ trả lương, không phải tổng thu nhập đã gồm phụ cấp và thưởng. Lấy sai gốc thì cả bốn cột tiền phía sau sai theo.</t>
        </is>
      </c>
    </row>
    <row r="6">
      <c r="B6" s="10" t="inlineStr">
        <is>
          <t>2. Xếp từng giờ tăng ca vào đúng một trong bốn cột</t>
        </is>
      </c>
    </row>
    <row r="7">
      <c r="B7" s="8" t="inlineStr">
        <is>
          <t xml:space="preserve">   Một giờ chỉ được đếm ở một cột. Tăng ca tối thứ Bảy mà công ty nghỉ thứ Bảy thì đó là giờ ngày nghỉ hằng tuần, không phải giờ ngày thường. Tăng ca sau 22 giờ thì chuyển sang cột giờ tăng ca ban đêm, đừng đếm hai lần ở cả cột ngày thường.</t>
        </is>
      </c>
    </row>
    <row r="8">
      <c r="B8" s="10" t="inlineStr">
        <is>
          <t>3. Phân biệt giờ tăng ca ban đêm với ca đêm bình thường</t>
        </is>
      </c>
    </row>
    <row r="9">
      <c r="B9" s="8" t="inlineStr">
        <is>
          <t xml:space="preserve">   Người làm ca đêm theo lịch phân ca, đủ 8 tiếng, không phải tăng ca — họ được cộng thêm 30% và điền vào cột giờ làm ban đêm. Còn người đã làm đủ ca ngày rồi làm thêm sau 22 giờ mới là tăng ca đêm, điền vào cột giờ tăng ca ban đêm.</t>
        </is>
      </c>
    </row>
    <row r="10">
      <c r="B10" s="10" t="inlineStr">
        <is>
          <t>4. Đối chiếu tổng giờ tăng ca với mức trần của luật</t>
        </is>
      </c>
    </row>
    <row r="11">
      <c r="B11" s="8" t="inlineStr">
        <is>
          <t xml:space="preserve">   Cộng bốn cột giờ lại, một tháng không quá 40 giờ và một năm không quá 200 giờ với công việc thông thường. Ngành nghề được phép nới lên 300 giờ một năm phải thuộc danh mục riêng và có thông báo với cơ quan lao động.</t>
        </is>
      </c>
    </row>
    <row r="12">
      <c r="B12" s="10" t="inlineStr">
        <is>
          <t>5. Chuyển cột tổng tiền tăng ca sang bảng lương</t>
        </is>
      </c>
    </row>
    <row r="13">
      <c r="B13" s="8" t="inlineStr">
        <is>
          <t xml:space="preserve">   Dùng SUMIF theo cột Mã NV để ra tổng tiền tăng ca của từng người, rồi cộng vào phần thu nhập chịu thuế ở bảng tính lương. Tiền tăng ca có chịu thuế thu nhập cá nhân, nên không được để ngoài.</t>
        </is>
      </c>
    </row>
    <row r="14">
      <c r="B14" s="8" t="inlineStr"/>
    </row>
    <row r="15">
      <c r="B15" s="9" t="inlineStr">
        <is>
          <t>CÔNG THỨC TRONG FILE</t>
        </is>
      </c>
    </row>
    <row r="16">
      <c r="B16" s="10" t="inlineStr">
        <is>
          <t>Đơn giá giờ  —  =IF(C2="","",IFERROR(ROUND(E2/(F2*8),0),0))</t>
        </is>
      </c>
    </row>
    <row r="17">
      <c r="B17" s="8" t="inlineStr">
        <is>
          <t xml:space="preserve">   Lương tháng chia số công chuẩn rồi chia 8 giờ một ngày. IFERROR chặn lỗi chia cho 0 khi dòng chưa điền công chuẩn. Công ty áp dụng tuần 44 giờ thì sửa số 8 thành 7.33 ở đây, mọi cột tiền phía sau tự đổi theo.</t>
        </is>
      </c>
    </row>
    <row r="18">
      <c r="B18" s="10" t="inlineStr">
        <is>
          <t>Tiền TC ngày thường  —  =IF(C2="","",ROUND(L2*G2*150%,0))</t>
        </is>
      </c>
    </row>
    <row r="19">
      <c r="B19" s="8" t="inlineStr">
        <is>
          <t xml:space="preserve">   Mức 150% là mức tối thiểu cho giờ làm thêm vào ngày làm việc bình thường. Công ty trả cao hơn thì sửa 150% thành mức của mình, nhưng không được để thấp hơn.</t>
        </is>
      </c>
    </row>
    <row r="20">
      <c r="B20" s="10" t="inlineStr">
        <is>
          <t>Tiền TC ngày nghỉ tuần  —  =IF(C2="","",ROUND(L2*H2*200%,0))</t>
        </is>
      </c>
    </row>
    <row r="21">
      <c r="B21" s="8" t="inlineStr">
        <is>
          <t xml:space="preserve">   Giờ làm thêm vào ngày nghỉ hằng tuần trả ít nhất 200%. Ngày nghỉ hằng tuần là ngày công ty đã ấn định cho người đó nghỉ, nên với người làm ca thì có thể không phải Chủ nhật.</t>
        </is>
      </c>
    </row>
    <row r="22">
      <c r="B22" s="10" t="inlineStr">
        <is>
          <t>Tiền TC ngày lễ  —  =IF(C2="","",ROUND(L2*I2*300%,0))</t>
        </is>
      </c>
    </row>
    <row r="23">
      <c r="B23" s="8" t="inlineStr">
        <is>
          <t xml:space="preserve">   Giờ làm thêm vào ngày lễ, tết và ngày nghỉ có hưởng lương trả ít nhất 300%, và 300% này chưa bao gồm tiền lương ngày lễ mà người lao động vốn đã được hưởng.</t>
        </is>
      </c>
    </row>
    <row r="24">
      <c r="B24" s="10" t="inlineStr">
        <is>
          <t>Tiền TC ban đêm  —  =IF(C2="","",ROUND(L2*J2*200%,0))</t>
        </is>
      </c>
    </row>
    <row r="25">
      <c r="B25" s="8" t="inlineStr">
        <is>
          <t xml:space="preserve">   Mức 200% là tổng của ba phần cho cùng một giờ: 150% của giờ tăng ca ngày thường, cộng 30% phụ cấp làm ban đêm, cộng 20% dành riêng cho trường hợp vừa tăng ca vừa làm đêm.</t>
        </is>
      </c>
    </row>
    <row r="26">
      <c r="B26" s="10" t="inlineStr">
        <is>
          <t>Phụ cấp ca đêm  —  =IF(C2="","",ROUND(L2*K2*30%,0))</t>
        </is>
      </c>
    </row>
    <row r="27">
      <c r="B27" s="8" t="inlineStr">
        <is>
          <t xml:space="preserve">   Chỉ là phần cộng thêm 30% cho giờ làm ban đêm theo lịch phân ca, không phải tiền tăng ca. Tiền lương của 8 giờ ca đêm đó vẫn nằm trong lương tháng ở bảng lương, nên ở đây chỉ tính phần 30%.</t>
        </is>
      </c>
    </row>
    <row r="28">
      <c r="B28" s="10" t="inlineStr">
        <is>
          <t>Tổng cộng  —  =IF(C2="","",M2+N2+O2+P2+Q2)</t>
        </is>
      </c>
    </row>
    <row r="29">
      <c r="B29" s="8" t="inlineStr">
        <is>
          <t xml:space="preserve">   Đây là con số bảng tính lương lấy sang. Nó chịu thuế thu nhập cá nhân nhưng không tính vào tiền lương đóng bảo hiểm xã hội, nên đừng cộng vào cột lương cơ bản.</t>
        </is>
      </c>
    </row>
    <row r="30">
      <c r="B30" s="10" t="inlineStr">
        <is>
          <t>Tổng giờ TC  —  =IF(C2="","",G2+H2+I2+J2)</t>
        </is>
      </c>
    </row>
    <row r="31">
      <c r="B31" s="8" t="inlineStr">
        <is>
          <t xml:space="preserve">   Cột để soát mức trần: một tháng không quá 40 giờ làm thêm, một năm không quá 200 giờ với công việc thông thường. Giờ ca đêm thường không cộng vào đây vì đó không phải giờ làm thêm.</t>
        </is>
      </c>
    </row>
    <row r="32">
      <c r="B32" s="8" t="inlineStr"/>
    </row>
    <row r="33">
      <c r="B33" s="10" t="inlineStr">
        <is>
          <t>Bản cập nhật mới nhất và hướng dẫn chi tiết:</t>
        </is>
      </c>
    </row>
    <row r="34">
      <c r="B34" s="11" t="inlineStr">
        <is>
          <t>https://excel.nguyenvietloc.com/mau-excel/nhan-su/bang-tinh-luong-lam-them-gio</t>
        </is>
      </c>
    </row>
  </sheetData>
  <hyperlinks>
    <hyperlink xmlns:r="http://schemas.openxmlformats.org/officeDocument/2006/relationships" ref="B34"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2026-08-10T14:10:52Z</dcterms:created>
  <dcterms:modified xsi:type="dcterms:W3CDTF">2026-08-10T14:10:52Z</dcterms:modified>
</cp:coreProperties>
</file>