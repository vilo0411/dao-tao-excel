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ấm công theo ca" sheetId="1" state="visible" r:id="rId1"/>
    <sheet name="Hướng dẫn" sheetId="2" state="visible" r:id="rId2"/>
  </sheets>
  <definedNames>
    <definedName name="_xlnm._FilterDatabase" localSheetId="0" hidden="1">'Chấm công theo ca'!$A$1:$M$37</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166" fontId="0" fillId="0" borderId="1" pivotButton="0" quotePrefix="0" xfId="0"/>
    <xf numFmtId="49" fontId="0" fillId="0" borderId="1" pivotButton="0" quotePrefix="0" xfId="0"/>
    <xf numFmtId="164"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nhan-su/bang-cham-cong-theo-ca" TargetMode="External" Id="rId1" /></Relationships>
</file>

<file path=xl/worksheets/sheet1.xml><?xml version="1.0" encoding="utf-8"?>
<worksheet xmlns="http://schemas.openxmlformats.org/spreadsheetml/2006/main">
  <sheetPr>
    <outlinePr summaryBelow="1" summaryRight="1"/>
    <pageSetUpPr/>
  </sheetPr>
  <dimension ref="A1:M37"/>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2" customWidth="1" min="3" max="3"/>
    <col width="24" customWidth="1" min="4" max="4"/>
    <col width="16" customWidth="1" min="5" max="5"/>
    <col width="14" customWidth="1" min="6" max="6"/>
    <col width="10" customWidth="1" min="7" max="7"/>
    <col width="10" customWidth="1" min="8" max="8"/>
    <col width="14" customWidth="1" min="9" max="9"/>
    <col width="13" customWidth="1" min="10" max="10"/>
    <col width="14" customWidth="1" min="11" max="11"/>
    <col width="14" customWidth="1" min="12" max="12"/>
    <col width="13" customWidth="1" min="13" max="13"/>
  </cols>
  <sheetData>
    <row r="1" ht="32" customHeight="1">
      <c r="A1" s="1" t="inlineStr">
        <is>
          <t>STT</t>
        </is>
      </c>
      <c r="B1" s="1" t="inlineStr">
        <is>
          <t>Ngày</t>
        </is>
      </c>
      <c r="C1" s="1" t="inlineStr">
        <is>
          <t>Mã NV</t>
        </is>
      </c>
      <c r="D1" s="1" t="inlineStr">
        <is>
          <t>Họ và tên</t>
        </is>
      </c>
      <c r="E1" s="1" t="inlineStr">
        <is>
          <t>Ca</t>
        </is>
      </c>
      <c r="F1" s="1" t="inlineStr">
        <is>
          <t>Trạng thái</t>
        </is>
      </c>
      <c r="G1" s="1" t="inlineStr">
        <is>
          <t>Giờ vào</t>
        </is>
      </c>
      <c r="H1" s="1" t="inlineStr">
        <is>
          <t>Giờ ra</t>
        </is>
      </c>
      <c r="I1" s="1" t="inlineStr">
        <is>
          <t>Nghỉ giữa ca</t>
        </is>
      </c>
      <c r="J1" s="1" t="inlineStr">
        <is>
          <t>Số giờ làm</t>
        </is>
      </c>
      <c r="K1" s="1" t="inlineStr">
        <is>
          <t>Giờ trong đêm</t>
        </is>
      </c>
      <c r="L1" s="1" t="inlineStr">
        <is>
          <t>Công quy đổi</t>
        </is>
      </c>
      <c r="M1" s="1" t="inlineStr">
        <is>
          <t>Giờ vượt ca</t>
        </is>
      </c>
    </row>
    <row r="2">
      <c r="A2" s="2" t="n">
        <v>1</v>
      </c>
      <c r="B2" s="3" t="n">
        <v>46209</v>
      </c>
      <c r="C2" s="4" t="inlineStr">
        <is>
          <t>NV004</t>
        </is>
      </c>
      <c r="D2" s="4" t="inlineStr">
        <is>
          <t>Phạm Minh Đức</t>
        </is>
      </c>
      <c r="E2" s="4" t="inlineStr">
        <is>
          <t>Ca đêm</t>
        </is>
      </c>
      <c r="F2" s="4" t="inlineStr">
        <is>
          <t>Đi làm</t>
        </is>
      </c>
      <c r="G2" s="2" t="n">
        <v>22</v>
      </c>
      <c r="H2" s="2" t="n">
        <v>6</v>
      </c>
      <c r="I2" s="2" t="n">
        <v>0.75</v>
      </c>
      <c r="J2" s="5">
        <f>IF(D2="","",IF(F2&lt;&gt;"Đi làm",0,MAX(0,IF(H2&gt;=G2,H2-G2,H2+24-G2)-IF(E2="Ca hành chính",I2,0))))</f>
        <v/>
      </c>
      <c r="K2" s="5">
        <f>IF(D2="","",IF(E2="Ca đêm",J2,0))</f>
        <v/>
      </c>
      <c r="L2" s="5">
        <f>IF(D2="","",IF(F2="Nghỉ phép",1,ROUND(MIN(J2,8)/8,2)))</f>
        <v/>
      </c>
      <c r="M2" s="5">
        <f>IF(D2="","",MAX(0,J2-8))</f>
        <v/>
      </c>
    </row>
    <row r="3">
      <c r="A3" s="2" t="n">
        <v>2</v>
      </c>
      <c r="B3" s="3" t="n">
        <v>46209</v>
      </c>
      <c r="C3" s="4" t="inlineStr">
        <is>
          <t>NV002</t>
        </is>
      </c>
      <c r="D3" s="4" t="inlineStr">
        <is>
          <t>Trần Văn Hùng</t>
        </is>
      </c>
      <c r="E3" s="4" t="inlineStr">
        <is>
          <t>Ca sáng</t>
        </is>
      </c>
      <c r="F3" s="4" t="inlineStr">
        <is>
          <t>Đi làm</t>
        </is>
      </c>
      <c r="G3" s="2" t="n">
        <v>6</v>
      </c>
      <c r="H3" s="2" t="n">
        <v>14</v>
      </c>
      <c r="I3" s="2" t="n">
        <v>0.5</v>
      </c>
      <c r="J3" s="5">
        <f>IF(D3="","",IF(F3&lt;&gt;"Đi làm",0,MAX(0,IF(H3&gt;=G3,H3-G3,H3+24-G3)-IF(E3="Ca hành chính",I3,0))))</f>
        <v/>
      </c>
      <c r="K3" s="5">
        <f>IF(D3="","",IF(E3="Ca đêm",J3,0))</f>
        <v/>
      </c>
      <c r="L3" s="5">
        <f>IF(D3="","",IF(F3="Nghỉ phép",1,ROUND(MIN(J3,8)/8,2)))</f>
        <v/>
      </c>
      <c r="M3" s="5">
        <f>IF(D3="","",MAX(0,J3-8))</f>
        <v/>
      </c>
    </row>
    <row r="4">
      <c r="A4" s="2" t="n">
        <v>3</v>
      </c>
      <c r="B4" s="3" t="n">
        <v>46209</v>
      </c>
      <c r="C4" s="4" t="inlineStr">
        <is>
          <t>NV005</t>
        </is>
      </c>
      <c r="D4" s="4" t="inlineStr">
        <is>
          <t>Hoàng Thị Lan</t>
        </is>
      </c>
      <c r="E4" s="4" t="inlineStr">
        <is>
          <t>Ca chiều</t>
        </is>
      </c>
      <c r="F4" s="4" t="inlineStr">
        <is>
          <t>Đi làm</t>
        </is>
      </c>
      <c r="G4" s="2" t="n">
        <v>14</v>
      </c>
      <c r="H4" s="2" t="n">
        <v>23</v>
      </c>
      <c r="I4" s="2" t="n">
        <v>0.5</v>
      </c>
      <c r="J4" s="5">
        <f>IF(D4="","",IF(F4&lt;&gt;"Đi làm",0,MAX(0,IF(H4&gt;=G4,H4-G4,H4+24-G4)-IF(E4="Ca hành chính",I4,0))))</f>
        <v/>
      </c>
      <c r="K4" s="5">
        <f>IF(D4="","",IF(E4="Ca đêm",J4,0))</f>
        <v/>
      </c>
      <c r="L4" s="5">
        <f>IF(D4="","",IF(F4="Nghỉ phép",1,ROUND(MIN(J4,8)/8,2)))</f>
        <v/>
      </c>
      <c r="M4" s="5">
        <f>IF(D4="","",MAX(0,J4-8))</f>
        <v/>
      </c>
    </row>
    <row r="5">
      <c r="A5" s="2" t="n">
        <v>4</v>
      </c>
      <c r="B5" s="3" t="n">
        <v>46210</v>
      </c>
      <c r="C5" s="4" t="inlineStr">
        <is>
          <t>NV004</t>
        </is>
      </c>
      <c r="D5" s="4" t="inlineStr">
        <is>
          <t>Phạm Minh Đức</t>
        </is>
      </c>
      <c r="E5" s="4" t="inlineStr">
        <is>
          <t>Ca đêm</t>
        </is>
      </c>
      <c r="F5" s="4" t="inlineStr">
        <is>
          <t>Vắng</t>
        </is>
      </c>
      <c r="G5" s="2" t="n">
        <v>0</v>
      </c>
      <c r="H5" s="2" t="n">
        <v>0</v>
      </c>
      <c r="I5" s="2" t="n">
        <v>0</v>
      </c>
      <c r="J5" s="5">
        <f>IF(D5="","",IF(F5&lt;&gt;"Đi làm",0,MAX(0,IF(H5&gt;=G5,H5-G5,H5+24-G5)-IF(E5="Ca hành chính",I5,0))))</f>
        <v/>
      </c>
      <c r="K5" s="5">
        <f>IF(D5="","",IF(E5="Ca đêm",J5,0))</f>
        <v/>
      </c>
      <c r="L5" s="5">
        <f>IF(D5="","",IF(F5="Nghỉ phép",1,ROUND(MIN(J5,8)/8,2)))</f>
        <v/>
      </c>
      <c r="M5" s="5">
        <f>IF(D5="","",MAX(0,J5-8))</f>
        <v/>
      </c>
    </row>
    <row r="6">
      <c r="A6" s="2" t="n">
        <v>5</v>
      </c>
      <c r="B6" s="3" t="n">
        <v>46210</v>
      </c>
      <c r="C6" s="4" t="inlineStr">
        <is>
          <t>NV003</t>
        </is>
      </c>
      <c r="D6" s="4" t="inlineStr">
        <is>
          <t>Lê Thu Hà</t>
        </is>
      </c>
      <c r="E6" s="4" t="inlineStr">
        <is>
          <t>Ca hành chính</t>
        </is>
      </c>
      <c r="F6" s="4" t="inlineStr">
        <is>
          <t>Đi làm</t>
        </is>
      </c>
      <c r="G6" s="2" t="n">
        <v>8</v>
      </c>
      <c r="H6" s="2" t="n">
        <v>17</v>
      </c>
      <c r="I6" s="2" t="n">
        <v>1</v>
      </c>
      <c r="J6" s="5">
        <f>IF(D6="","",IF(F6&lt;&gt;"Đi làm",0,MAX(0,IF(H6&gt;=G6,H6-G6,H6+24-G6)-IF(E6="Ca hành chính",I6,0))))</f>
        <v/>
      </c>
      <c r="K6" s="5">
        <f>IF(D6="","",IF(E6="Ca đêm",J6,0))</f>
        <v/>
      </c>
      <c r="L6" s="5">
        <f>IF(D6="","",IF(F6="Nghỉ phép",1,ROUND(MIN(J6,8)/8,2)))</f>
        <v/>
      </c>
      <c r="M6" s="5">
        <f>IF(D6="","",MAX(0,J6-8))</f>
        <v/>
      </c>
    </row>
    <row r="7">
      <c r="A7" s="2" t="n">
        <v>6</v>
      </c>
      <c r="B7" s="3" t="n">
        <v>46210</v>
      </c>
      <c r="C7" s="4" t="inlineStr">
        <is>
          <t>NV002</t>
        </is>
      </c>
      <c r="D7" s="4" t="inlineStr">
        <is>
          <t>Trần Văn Hùng</t>
        </is>
      </c>
      <c r="E7" s="4" t="inlineStr">
        <is>
          <t>Ca sáng</t>
        </is>
      </c>
      <c r="F7" s="4" t="inlineStr">
        <is>
          <t>Nghỉ phép</t>
        </is>
      </c>
      <c r="G7" s="2" t="n">
        <v>0</v>
      </c>
      <c r="H7" s="2" t="n">
        <v>0</v>
      </c>
      <c r="I7" s="2" t="n">
        <v>0</v>
      </c>
      <c r="J7" s="5">
        <f>IF(D7="","",IF(F7&lt;&gt;"Đi làm",0,MAX(0,IF(H7&gt;=G7,H7-G7,H7+24-G7)-IF(E7="Ca hành chính",I7,0))))</f>
        <v/>
      </c>
      <c r="K7" s="5">
        <f>IF(D7="","",IF(E7="Ca đêm",J7,0))</f>
        <v/>
      </c>
      <c r="L7" s="5">
        <f>IF(D7="","",IF(F7="Nghỉ phép",1,ROUND(MIN(J7,8)/8,2)))</f>
        <v/>
      </c>
      <c r="M7" s="5">
        <f>IF(D7="","",MAX(0,J7-8))</f>
        <v/>
      </c>
    </row>
    <row r="8">
      <c r="A8" s="2" t="n"/>
      <c r="B8" s="3" t="n"/>
      <c r="C8" s="4" t="n"/>
      <c r="D8" s="4" t="n"/>
      <c r="E8" s="4" t="n"/>
      <c r="F8" s="4" t="n"/>
      <c r="G8" s="2" t="n"/>
      <c r="H8" s="2" t="n"/>
      <c r="I8" s="2" t="n"/>
      <c r="J8" s="5">
        <f>IF(D8="","",IF(F8&lt;&gt;"Đi làm",0,MAX(0,IF(H8&gt;=G8,H8-G8,H8+24-G8)-IF(E8="Ca hành chính",I8,0))))</f>
        <v/>
      </c>
      <c r="K8" s="5">
        <f>IF(D8="","",IF(E8="Ca đêm",J8,0))</f>
        <v/>
      </c>
      <c r="L8" s="5">
        <f>IF(D8="","",IF(F8="Nghỉ phép",1,ROUND(MIN(J8,8)/8,2)))</f>
        <v/>
      </c>
      <c r="M8" s="5">
        <f>IF(D8="","",MAX(0,J8-8))</f>
        <v/>
      </c>
    </row>
    <row r="9">
      <c r="A9" s="2" t="n"/>
      <c r="B9" s="3" t="n"/>
      <c r="C9" s="4" t="n"/>
      <c r="D9" s="4" t="n"/>
      <c r="E9" s="4" t="n"/>
      <c r="F9" s="4" t="n"/>
      <c r="G9" s="2" t="n"/>
      <c r="H9" s="2" t="n"/>
      <c r="I9" s="2" t="n"/>
      <c r="J9" s="5">
        <f>IF(D9="","",IF(F9&lt;&gt;"Đi làm",0,MAX(0,IF(H9&gt;=G9,H9-G9,H9+24-G9)-IF(E9="Ca hành chính",I9,0))))</f>
        <v/>
      </c>
      <c r="K9" s="5">
        <f>IF(D9="","",IF(E9="Ca đêm",J9,0))</f>
        <v/>
      </c>
      <c r="L9" s="5">
        <f>IF(D9="","",IF(F9="Nghỉ phép",1,ROUND(MIN(J9,8)/8,2)))</f>
        <v/>
      </c>
      <c r="M9" s="5">
        <f>IF(D9="","",MAX(0,J9-8))</f>
        <v/>
      </c>
    </row>
    <row r="10">
      <c r="A10" s="2" t="n"/>
      <c r="B10" s="3" t="n"/>
      <c r="C10" s="4" t="n"/>
      <c r="D10" s="4" t="n"/>
      <c r="E10" s="4" t="n"/>
      <c r="F10" s="4" t="n"/>
      <c r="G10" s="2" t="n"/>
      <c r="H10" s="2" t="n"/>
      <c r="I10" s="2" t="n"/>
      <c r="J10" s="5">
        <f>IF(D10="","",IF(F10&lt;&gt;"Đi làm",0,MAX(0,IF(H10&gt;=G10,H10-G10,H10+24-G10)-IF(E10="Ca hành chính",I10,0))))</f>
        <v/>
      </c>
      <c r="K10" s="5">
        <f>IF(D10="","",IF(E10="Ca đêm",J10,0))</f>
        <v/>
      </c>
      <c r="L10" s="5">
        <f>IF(D10="","",IF(F10="Nghỉ phép",1,ROUND(MIN(J10,8)/8,2)))</f>
        <v/>
      </c>
      <c r="M10" s="5">
        <f>IF(D10="","",MAX(0,J10-8))</f>
        <v/>
      </c>
    </row>
    <row r="11">
      <c r="A11" s="2" t="n"/>
      <c r="B11" s="3" t="n"/>
      <c r="C11" s="4" t="n"/>
      <c r="D11" s="4" t="n"/>
      <c r="E11" s="4" t="n"/>
      <c r="F11" s="4" t="n"/>
      <c r="G11" s="2" t="n"/>
      <c r="H11" s="2" t="n"/>
      <c r="I11" s="2" t="n"/>
      <c r="J11" s="5">
        <f>IF(D11="","",IF(F11&lt;&gt;"Đi làm",0,MAX(0,IF(H11&gt;=G11,H11-G11,H11+24-G11)-IF(E11="Ca hành chính",I11,0))))</f>
        <v/>
      </c>
      <c r="K11" s="5">
        <f>IF(D11="","",IF(E11="Ca đêm",J11,0))</f>
        <v/>
      </c>
      <c r="L11" s="5">
        <f>IF(D11="","",IF(F11="Nghỉ phép",1,ROUND(MIN(J11,8)/8,2)))</f>
        <v/>
      </c>
      <c r="M11" s="5">
        <f>IF(D11="","",MAX(0,J11-8))</f>
        <v/>
      </c>
    </row>
    <row r="12">
      <c r="A12" s="2" t="n"/>
      <c r="B12" s="3" t="n"/>
      <c r="C12" s="4" t="n"/>
      <c r="D12" s="4" t="n"/>
      <c r="E12" s="4" t="n"/>
      <c r="F12" s="4" t="n"/>
      <c r="G12" s="2" t="n"/>
      <c r="H12" s="2" t="n"/>
      <c r="I12" s="2" t="n"/>
      <c r="J12" s="5">
        <f>IF(D12="","",IF(F12&lt;&gt;"Đi làm",0,MAX(0,IF(H12&gt;=G12,H12-G12,H12+24-G12)-IF(E12="Ca hành chính",I12,0))))</f>
        <v/>
      </c>
      <c r="K12" s="5">
        <f>IF(D12="","",IF(E12="Ca đêm",J12,0))</f>
        <v/>
      </c>
      <c r="L12" s="5">
        <f>IF(D12="","",IF(F12="Nghỉ phép",1,ROUND(MIN(J12,8)/8,2)))</f>
        <v/>
      </c>
      <c r="M12" s="5">
        <f>IF(D12="","",MAX(0,J12-8))</f>
        <v/>
      </c>
    </row>
    <row r="13">
      <c r="A13" s="2" t="n"/>
      <c r="B13" s="3" t="n"/>
      <c r="C13" s="4" t="n"/>
      <c r="D13" s="4" t="n"/>
      <c r="E13" s="4" t="n"/>
      <c r="F13" s="4" t="n"/>
      <c r="G13" s="2" t="n"/>
      <c r="H13" s="2" t="n"/>
      <c r="I13" s="2" t="n"/>
      <c r="J13" s="5">
        <f>IF(D13="","",IF(F13&lt;&gt;"Đi làm",0,MAX(0,IF(H13&gt;=G13,H13-G13,H13+24-G13)-IF(E13="Ca hành chính",I13,0))))</f>
        <v/>
      </c>
      <c r="K13" s="5">
        <f>IF(D13="","",IF(E13="Ca đêm",J13,0))</f>
        <v/>
      </c>
      <c r="L13" s="5">
        <f>IF(D13="","",IF(F13="Nghỉ phép",1,ROUND(MIN(J13,8)/8,2)))</f>
        <v/>
      </c>
      <c r="M13" s="5">
        <f>IF(D13="","",MAX(0,J13-8))</f>
        <v/>
      </c>
    </row>
    <row r="14">
      <c r="A14" s="2" t="n"/>
      <c r="B14" s="3" t="n"/>
      <c r="C14" s="4" t="n"/>
      <c r="D14" s="4" t="n"/>
      <c r="E14" s="4" t="n"/>
      <c r="F14" s="4" t="n"/>
      <c r="G14" s="2" t="n"/>
      <c r="H14" s="2" t="n"/>
      <c r="I14" s="2" t="n"/>
      <c r="J14" s="5">
        <f>IF(D14="","",IF(F14&lt;&gt;"Đi làm",0,MAX(0,IF(H14&gt;=G14,H14-G14,H14+24-G14)-IF(E14="Ca hành chính",I14,0))))</f>
        <v/>
      </c>
      <c r="K14" s="5">
        <f>IF(D14="","",IF(E14="Ca đêm",J14,0))</f>
        <v/>
      </c>
      <c r="L14" s="5">
        <f>IF(D14="","",IF(F14="Nghỉ phép",1,ROUND(MIN(J14,8)/8,2)))</f>
        <v/>
      </c>
      <c r="M14" s="5">
        <f>IF(D14="","",MAX(0,J14-8))</f>
        <v/>
      </c>
    </row>
    <row r="15">
      <c r="A15" s="2" t="n"/>
      <c r="B15" s="3" t="n"/>
      <c r="C15" s="4" t="n"/>
      <c r="D15" s="4" t="n"/>
      <c r="E15" s="4" t="n"/>
      <c r="F15" s="4" t="n"/>
      <c r="G15" s="2" t="n"/>
      <c r="H15" s="2" t="n"/>
      <c r="I15" s="2" t="n"/>
      <c r="J15" s="5">
        <f>IF(D15="","",IF(F15&lt;&gt;"Đi làm",0,MAX(0,IF(H15&gt;=G15,H15-G15,H15+24-G15)-IF(E15="Ca hành chính",I15,0))))</f>
        <v/>
      </c>
      <c r="K15" s="5">
        <f>IF(D15="","",IF(E15="Ca đêm",J15,0))</f>
        <v/>
      </c>
      <c r="L15" s="5">
        <f>IF(D15="","",IF(F15="Nghỉ phép",1,ROUND(MIN(J15,8)/8,2)))</f>
        <v/>
      </c>
      <c r="M15" s="5">
        <f>IF(D15="","",MAX(0,J15-8))</f>
        <v/>
      </c>
    </row>
    <row r="16">
      <c r="A16" s="2" t="n"/>
      <c r="B16" s="3" t="n"/>
      <c r="C16" s="4" t="n"/>
      <c r="D16" s="4" t="n"/>
      <c r="E16" s="4" t="n"/>
      <c r="F16" s="4" t="n"/>
      <c r="G16" s="2" t="n"/>
      <c r="H16" s="2" t="n"/>
      <c r="I16" s="2" t="n"/>
      <c r="J16" s="5">
        <f>IF(D16="","",IF(F16&lt;&gt;"Đi làm",0,MAX(0,IF(H16&gt;=G16,H16-G16,H16+24-G16)-IF(E16="Ca hành chính",I16,0))))</f>
        <v/>
      </c>
      <c r="K16" s="5">
        <f>IF(D16="","",IF(E16="Ca đêm",J16,0))</f>
        <v/>
      </c>
      <c r="L16" s="5">
        <f>IF(D16="","",IF(F16="Nghỉ phép",1,ROUND(MIN(J16,8)/8,2)))</f>
        <v/>
      </c>
      <c r="M16" s="5">
        <f>IF(D16="","",MAX(0,J16-8))</f>
        <v/>
      </c>
    </row>
    <row r="17">
      <c r="A17" s="2" t="n"/>
      <c r="B17" s="3" t="n"/>
      <c r="C17" s="4" t="n"/>
      <c r="D17" s="4" t="n"/>
      <c r="E17" s="4" t="n"/>
      <c r="F17" s="4" t="n"/>
      <c r="G17" s="2" t="n"/>
      <c r="H17" s="2" t="n"/>
      <c r="I17" s="2" t="n"/>
      <c r="J17" s="5">
        <f>IF(D17="","",IF(F17&lt;&gt;"Đi làm",0,MAX(0,IF(H17&gt;=G17,H17-G17,H17+24-G17)-IF(E17="Ca hành chính",I17,0))))</f>
        <v/>
      </c>
      <c r="K17" s="5">
        <f>IF(D17="","",IF(E17="Ca đêm",J17,0))</f>
        <v/>
      </c>
      <c r="L17" s="5">
        <f>IF(D17="","",IF(F17="Nghỉ phép",1,ROUND(MIN(J17,8)/8,2)))</f>
        <v/>
      </c>
      <c r="M17" s="5">
        <f>IF(D17="","",MAX(0,J17-8))</f>
        <v/>
      </c>
    </row>
    <row r="18">
      <c r="A18" s="2" t="n"/>
      <c r="B18" s="3" t="n"/>
      <c r="C18" s="4" t="n"/>
      <c r="D18" s="4" t="n"/>
      <c r="E18" s="4" t="n"/>
      <c r="F18" s="4" t="n"/>
      <c r="G18" s="2" t="n"/>
      <c r="H18" s="2" t="n"/>
      <c r="I18" s="2" t="n"/>
      <c r="J18" s="5">
        <f>IF(D18="","",IF(F18&lt;&gt;"Đi làm",0,MAX(0,IF(H18&gt;=G18,H18-G18,H18+24-G18)-IF(E18="Ca hành chính",I18,0))))</f>
        <v/>
      </c>
      <c r="K18" s="5">
        <f>IF(D18="","",IF(E18="Ca đêm",J18,0))</f>
        <v/>
      </c>
      <c r="L18" s="5">
        <f>IF(D18="","",IF(F18="Nghỉ phép",1,ROUND(MIN(J18,8)/8,2)))</f>
        <v/>
      </c>
      <c r="M18" s="5">
        <f>IF(D18="","",MAX(0,J18-8))</f>
        <v/>
      </c>
    </row>
    <row r="19">
      <c r="A19" s="2" t="n"/>
      <c r="B19" s="3" t="n"/>
      <c r="C19" s="4" t="n"/>
      <c r="D19" s="4" t="n"/>
      <c r="E19" s="4" t="n"/>
      <c r="F19" s="4" t="n"/>
      <c r="G19" s="2" t="n"/>
      <c r="H19" s="2" t="n"/>
      <c r="I19" s="2" t="n"/>
      <c r="J19" s="5">
        <f>IF(D19="","",IF(F19&lt;&gt;"Đi làm",0,MAX(0,IF(H19&gt;=G19,H19-G19,H19+24-G19)-IF(E19="Ca hành chính",I19,0))))</f>
        <v/>
      </c>
      <c r="K19" s="5">
        <f>IF(D19="","",IF(E19="Ca đêm",J19,0))</f>
        <v/>
      </c>
      <c r="L19" s="5">
        <f>IF(D19="","",IF(F19="Nghỉ phép",1,ROUND(MIN(J19,8)/8,2)))</f>
        <v/>
      </c>
      <c r="M19" s="5">
        <f>IF(D19="","",MAX(0,J19-8))</f>
        <v/>
      </c>
    </row>
    <row r="20">
      <c r="A20" s="2" t="n"/>
      <c r="B20" s="3" t="n"/>
      <c r="C20" s="4" t="n"/>
      <c r="D20" s="4" t="n"/>
      <c r="E20" s="4" t="n"/>
      <c r="F20" s="4" t="n"/>
      <c r="G20" s="2" t="n"/>
      <c r="H20" s="2" t="n"/>
      <c r="I20" s="2" t="n"/>
      <c r="J20" s="5">
        <f>IF(D20="","",IF(F20&lt;&gt;"Đi làm",0,MAX(0,IF(H20&gt;=G20,H20-G20,H20+24-G20)-IF(E20="Ca hành chính",I20,0))))</f>
        <v/>
      </c>
      <c r="K20" s="5">
        <f>IF(D20="","",IF(E20="Ca đêm",J20,0))</f>
        <v/>
      </c>
      <c r="L20" s="5">
        <f>IF(D20="","",IF(F20="Nghỉ phép",1,ROUND(MIN(J20,8)/8,2)))</f>
        <v/>
      </c>
      <c r="M20" s="5">
        <f>IF(D20="","",MAX(0,J20-8))</f>
        <v/>
      </c>
    </row>
    <row r="21">
      <c r="A21" s="2" t="n"/>
      <c r="B21" s="3" t="n"/>
      <c r="C21" s="4" t="n"/>
      <c r="D21" s="4" t="n"/>
      <c r="E21" s="4" t="n"/>
      <c r="F21" s="4" t="n"/>
      <c r="G21" s="2" t="n"/>
      <c r="H21" s="2" t="n"/>
      <c r="I21" s="2" t="n"/>
      <c r="J21" s="5">
        <f>IF(D21="","",IF(F21&lt;&gt;"Đi làm",0,MAX(0,IF(H21&gt;=G21,H21-G21,H21+24-G21)-IF(E21="Ca hành chính",I21,0))))</f>
        <v/>
      </c>
      <c r="K21" s="5">
        <f>IF(D21="","",IF(E21="Ca đêm",J21,0))</f>
        <v/>
      </c>
      <c r="L21" s="5">
        <f>IF(D21="","",IF(F21="Nghỉ phép",1,ROUND(MIN(J21,8)/8,2)))</f>
        <v/>
      </c>
      <c r="M21" s="5">
        <f>IF(D21="","",MAX(0,J21-8))</f>
        <v/>
      </c>
    </row>
    <row r="22">
      <c r="A22" s="2" t="n"/>
      <c r="B22" s="3" t="n"/>
      <c r="C22" s="4" t="n"/>
      <c r="D22" s="4" t="n"/>
      <c r="E22" s="4" t="n"/>
      <c r="F22" s="4" t="n"/>
      <c r="G22" s="2" t="n"/>
      <c r="H22" s="2" t="n"/>
      <c r="I22" s="2" t="n"/>
      <c r="J22" s="5">
        <f>IF(D22="","",IF(F22&lt;&gt;"Đi làm",0,MAX(0,IF(H22&gt;=G22,H22-G22,H22+24-G22)-IF(E22="Ca hành chính",I22,0))))</f>
        <v/>
      </c>
      <c r="K22" s="5">
        <f>IF(D22="","",IF(E22="Ca đêm",J22,0))</f>
        <v/>
      </c>
      <c r="L22" s="5">
        <f>IF(D22="","",IF(F22="Nghỉ phép",1,ROUND(MIN(J22,8)/8,2)))</f>
        <v/>
      </c>
      <c r="M22" s="5">
        <f>IF(D22="","",MAX(0,J22-8))</f>
        <v/>
      </c>
    </row>
    <row r="23">
      <c r="A23" s="2" t="n"/>
      <c r="B23" s="3" t="n"/>
      <c r="C23" s="4" t="n"/>
      <c r="D23" s="4" t="n"/>
      <c r="E23" s="4" t="n"/>
      <c r="F23" s="4" t="n"/>
      <c r="G23" s="2" t="n"/>
      <c r="H23" s="2" t="n"/>
      <c r="I23" s="2" t="n"/>
      <c r="J23" s="5">
        <f>IF(D23="","",IF(F23&lt;&gt;"Đi làm",0,MAX(0,IF(H23&gt;=G23,H23-G23,H23+24-G23)-IF(E23="Ca hành chính",I23,0))))</f>
        <v/>
      </c>
      <c r="K23" s="5">
        <f>IF(D23="","",IF(E23="Ca đêm",J23,0))</f>
        <v/>
      </c>
      <c r="L23" s="5">
        <f>IF(D23="","",IF(F23="Nghỉ phép",1,ROUND(MIN(J23,8)/8,2)))</f>
        <v/>
      </c>
      <c r="M23" s="5">
        <f>IF(D23="","",MAX(0,J23-8))</f>
        <v/>
      </c>
    </row>
    <row r="24">
      <c r="A24" s="2" t="n"/>
      <c r="B24" s="3" t="n"/>
      <c r="C24" s="4" t="n"/>
      <c r="D24" s="4" t="n"/>
      <c r="E24" s="4" t="n"/>
      <c r="F24" s="4" t="n"/>
      <c r="G24" s="2" t="n"/>
      <c r="H24" s="2" t="n"/>
      <c r="I24" s="2" t="n"/>
      <c r="J24" s="5">
        <f>IF(D24="","",IF(F24&lt;&gt;"Đi làm",0,MAX(0,IF(H24&gt;=G24,H24-G24,H24+24-G24)-IF(E24="Ca hành chính",I24,0))))</f>
        <v/>
      </c>
      <c r="K24" s="5">
        <f>IF(D24="","",IF(E24="Ca đêm",J24,0))</f>
        <v/>
      </c>
      <c r="L24" s="5">
        <f>IF(D24="","",IF(F24="Nghỉ phép",1,ROUND(MIN(J24,8)/8,2)))</f>
        <v/>
      </c>
      <c r="M24" s="5">
        <f>IF(D24="","",MAX(0,J24-8))</f>
        <v/>
      </c>
    </row>
    <row r="25">
      <c r="A25" s="2" t="n"/>
      <c r="B25" s="3" t="n"/>
      <c r="C25" s="4" t="n"/>
      <c r="D25" s="4" t="n"/>
      <c r="E25" s="4" t="n"/>
      <c r="F25" s="4" t="n"/>
      <c r="G25" s="2" t="n"/>
      <c r="H25" s="2" t="n"/>
      <c r="I25" s="2" t="n"/>
      <c r="J25" s="5">
        <f>IF(D25="","",IF(F25&lt;&gt;"Đi làm",0,MAX(0,IF(H25&gt;=G25,H25-G25,H25+24-G25)-IF(E25="Ca hành chính",I25,0))))</f>
        <v/>
      </c>
      <c r="K25" s="5">
        <f>IF(D25="","",IF(E25="Ca đêm",J25,0))</f>
        <v/>
      </c>
      <c r="L25" s="5">
        <f>IF(D25="","",IF(F25="Nghỉ phép",1,ROUND(MIN(J25,8)/8,2)))</f>
        <v/>
      </c>
      <c r="M25" s="5">
        <f>IF(D25="","",MAX(0,J25-8))</f>
        <v/>
      </c>
    </row>
    <row r="26">
      <c r="A26" s="2" t="n"/>
      <c r="B26" s="3" t="n"/>
      <c r="C26" s="4" t="n"/>
      <c r="D26" s="4" t="n"/>
      <c r="E26" s="4" t="n"/>
      <c r="F26" s="4" t="n"/>
      <c r="G26" s="2" t="n"/>
      <c r="H26" s="2" t="n"/>
      <c r="I26" s="2" t="n"/>
      <c r="J26" s="5">
        <f>IF(D26="","",IF(F26&lt;&gt;"Đi làm",0,MAX(0,IF(H26&gt;=G26,H26-G26,H26+24-G26)-IF(E26="Ca hành chính",I26,0))))</f>
        <v/>
      </c>
      <c r="K26" s="5">
        <f>IF(D26="","",IF(E26="Ca đêm",J26,0))</f>
        <v/>
      </c>
      <c r="L26" s="5">
        <f>IF(D26="","",IF(F26="Nghỉ phép",1,ROUND(MIN(J26,8)/8,2)))</f>
        <v/>
      </c>
      <c r="M26" s="5">
        <f>IF(D26="","",MAX(0,J26-8))</f>
        <v/>
      </c>
    </row>
    <row r="27">
      <c r="A27" s="2" t="n"/>
      <c r="B27" s="3" t="n"/>
      <c r="C27" s="4" t="n"/>
      <c r="D27" s="4" t="n"/>
      <c r="E27" s="4" t="n"/>
      <c r="F27" s="4" t="n"/>
      <c r="G27" s="2" t="n"/>
      <c r="H27" s="2" t="n"/>
      <c r="I27" s="2" t="n"/>
      <c r="J27" s="5">
        <f>IF(D27="","",IF(F27&lt;&gt;"Đi làm",0,MAX(0,IF(H27&gt;=G27,H27-G27,H27+24-G27)-IF(E27="Ca hành chính",I27,0))))</f>
        <v/>
      </c>
      <c r="K27" s="5">
        <f>IF(D27="","",IF(E27="Ca đêm",J27,0))</f>
        <v/>
      </c>
      <c r="L27" s="5">
        <f>IF(D27="","",IF(F27="Nghỉ phép",1,ROUND(MIN(J27,8)/8,2)))</f>
        <v/>
      </c>
      <c r="M27" s="5">
        <f>IF(D27="","",MAX(0,J27-8))</f>
        <v/>
      </c>
    </row>
    <row r="28">
      <c r="A28" s="2" t="n"/>
      <c r="B28" s="3" t="n"/>
      <c r="C28" s="4" t="n"/>
      <c r="D28" s="4" t="n"/>
      <c r="E28" s="4" t="n"/>
      <c r="F28" s="4" t="n"/>
      <c r="G28" s="2" t="n"/>
      <c r="H28" s="2" t="n"/>
      <c r="I28" s="2" t="n"/>
      <c r="J28" s="5">
        <f>IF(D28="","",IF(F28&lt;&gt;"Đi làm",0,MAX(0,IF(H28&gt;=G28,H28-G28,H28+24-G28)-IF(E28="Ca hành chính",I28,0))))</f>
        <v/>
      </c>
      <c r="K28" s="5">
        <f>IF(D28="","",IF(E28="Ca đêm",J28,0))</f>
        <v/>
      </c>
      <c r="L28" s="5">
        <f>IF(D28="","",IF(F28="Nghỉ phép",1,ROUND(MIN(J28,8)/8,2)))</f>
        <v/>
      </c>
      <c r="M28" s="5">
        <f>IF(D28="","",MAX(0,J28-8))</f>
        <v/>
      </c>
    </row>
    <row r="29">
      <c r="A29" s="2" t="n"/>
      <c r="B29" s="3" t="n"/>
      <c r="C29" s="4" t="n"/>
      <c r="D29" s="4" t="n"/>
      <c r="E29" s="4" t="n"/>
      <c r="F29" s="4" t="n"/>
      <c r="G29" s="2" t="n"/>
      <c r="H29" s="2" t="n"/>
      <c r="I29" s="2" t="n"/>
      <c r="J29" s="5">
        <f>IF(D29="","",IF(F29&lt;&gt;"Đi làm",0,MAX(0,IF(H29&gt;=G29,H29-G29,H29+24-G29)-IF(E29="Ca hành chính",I29,0))))</f>
        <v/>
      </c>
      <c r="K29" s="5">
        <f>IF(D29="","",IF(E29="Ca đêm",J29,0))</f>
        <v/>
      </c>
      <c r="L29" s="5">
        <f>IF(D29="","",IF(F29="Nghỉ phép",1,ROUND(MIN(J29,8)/8,2)))</f>
        <v/>
      </c>
      <c r="M29" s="5">
        <f>IF(D29="","",MAX(0,J29-8))</f>
        <v/>
      </c>
    </row>
    <row r="30">
      <c r="A30" s="2" t="n"/>
      <c r="B30" s="3" t="n"/>
      <c r="C30" s="4" t="n"/>
      <c r="D30" s="4" t="n"/>
      <c r="E30" s="4" t="n"/>
      <c r="F30" s="4" t="n"/>
      <c r="G30" s="2" t="n"/>
      <c r="H30" s="2" t="n"/>
      <c r="I30" s="2" t="n"/>
      <c r="J30" s="5">
        <f>IF(D30="","",IF(F30&lt;&gt;"Đi làm",0,MAX(0,IF(H30&gt;=G30,H30-G30,H30+24-G30)-IF(E30="Ca hành chính",I30,0))))</f>
        <v/>
      </c>
      <c r="K30" s="5">
        <f>IF(D30="","",IF(E30="Ca đêm",J30,0))</f>
        <v/>
      </c>
      <c r="L30" s="5">
        <f>IF(D30="","",IF(F30="Nghỉ phép",1,ROUND(MIN(J30,8)/8,2)))</f>
        <v/>
      </c>
      <c r="M30" s="5">
        <f>IF(D30="","",MAX(0,J30-8))</f>
        <v/>
      </c>
    </row>
    <row r="31">
      <c r="A31" s="2" t="n"/>
      <c r="B31" s="3" t="n"/>
      <c r="C31" s="4" t="n"/>
      <c r="D31" s="4" t="n"/>
      <c r="E31" s="4" t="n"/>
      <c r="F31" s="4" t="n"/>
      <c r="G31" s="2" t="n"/>
      <c r="H31" s="2" t="n"/>
      <c r="I31" s="2" t="n"/>
      <c r="J31" s="5">
        <f>IF(D31="","",IF(F31&lt;&gt;"Đi làm",0,MAX(0,IF(H31&gt;=G31,H31-G31,H31+24-G31)-IF(E31="Ca hành chính",I31,0))))</f>
        <v/>
      </c>
      <c r="K31" s="5">
        <f>IF(D31="","",IF(E31="Ca đêm",J31,0))</f>
        <v/>
      </c>
      <c r="L31" s="5">
        <f>IF(D31="","",IF(F31="Nghỉ phép",1,ROUND(MIN(J31,8)/8,2)))</f>
        <v/>
      </c>
      <c r="M31" s="5">
        <f>IF(D31="","",MAX(0,J31-8))</f>
        <v/>
      </c>
    </row>
    <row r="32">
      <c r="A32" s="2" t="n"/>
      <c r="B32" s="3" t="n"/>
      <c r="C32" s="4" t="n"/>
      <c r="D32" s="4" t="n"/>
      <c r="E32" s="4" t="n"/>
      <c r="F32" s="4" t="n"/>
      <c r="G32" s="2" t="n"/>
      <c r="H32" s="2" t="n"/>
      <c r="I32" s="2" t="n"/>
      <c r="J32" s="5">
        <f>IF(D32="","",IF(F32&lt;&gt;"Đi làm",0,MAX(0,IF(H32&gt;=G32,H32-G32,H32+24-G32)-IF(E32="Ca hành chính",I32,0))))</f>
        <v/>
      </c>
      <c r="K32" s="5">
        <f>IF(D32="","",IF(E32="Ca đêm",J32,0))</f>
        <v/>
      </c>
      <c r="L32" s="5">
        <f>IF(D32="","",IF(F32="Nghỉ phép",1,ROUND(MIN(J32,8)/8,2)))</f>
        <v/>
      </c>
      <c r="M32" s="5">
        <f>IF(D32="","",MAX(0,J32-8))</f>
        <v/>
      </c>
    </row>
    <row r="33">
      <c r="A33" s="2" t="n"/>
      <c r="B33" s="3" t="n"/>
      <c r="C33" s="4" t="n"/>
      <c r="D33" s="4" t="n"/>
      <c r="E33" s="4" t="n"/>
      <c r="F33" s="4" t="n"/>
      <c r="G33" s="2" t="n"/>
      <c r="H33" s="2" t="n"/>
      <c r="I33" s="2" t="n"/>
      <c r="J33" s="5">
        <f>IF(D33="","",IF(F33&lt;&gt;"Đi làm",0,MAX(0,IF(H33&gt;=G33,H33-G33,H33+24-G33)-IF(E33="Ca hành chính",I33,0))))</f>
        <v/>
      </c>
      <c r="K33" s="5">
        <f>IF(D33="","",IF(E33="Ca đêm",J33,0))</f>
        <v/>
      </c>
      <c r="L33" s="5">
        <f>IF(D33="","",IF(F33="Nghỉ phép",1,ROUND(MIN(J33,8)/8,2)))</f>
        <v/>
      </c>
      <c r="M33" s="5">
        <f>IF(D33="","",MAX(0,J33-8))</f>
        <v/>
      </c>
    </row>
    <row r="34">
      <c r="A34" s="2" t="n"/>
      <c r="B34" s="3" t="n"/>
      <c r="C34" s="4" t="n"/>
      <c r="D34" s="4" t="n"/>
      <c r="E34" s="4" t="n"/>
      <c r="F34" s="4" t="n"/>
      <c r="G34" s="2" t="n"/>
      <c r="H34" s="2" t="n"/>
      <c r="I34" s="2" t="n"/>
      <c r="J34" s="5">
        <f>IF(D34="","",IF(F34&lt;&gt;"Đi làm",0,MAX(0,IF(H34&gt;=G34,H34-G34,H34+24-G34)-IF(E34="Ca hành chính",I34,0))))</f>
        <v/>
      </c>
      <c r="K34" s="5">
        <f>IF(D34="","",IF(E34="Ca đêm",J34,0))</f>
        <v/>
      </c>
      <c r="L34" s="5">
        <f>IF(D34="","",IF(F34="Nghỉ phép",1,ROUND(MIN(J34,8)/8,2)))</f>
        <v/>
      </c>
      <c r="M34" s="5">
        <f>IF(D34="","",MAX(0,J34-8))</f>
        <v/>
      </c>
    </row>
    <row r="35">
      <c r="A35" s="2" t="n"/>
      <c r="B35" s="3" t="n"/>
      <c r="C35" s="4" t="n"/>
      <c r="D35" s="4" t="n"/>
      <c r="E35" s="4" t="n"/>
      <c r="F35" s="4" t="n"/>
      <c r="G35" s="2" t="n"/>
      <c r="H35" s="2" t="n"/>
      <c r="I35" s="2" t="n"/>
      <c r="J35" s="5">
        <f>IF(D35="","",IF(F35&lt;&gt;"Đi làm",0,MAX(0,IF(H35&gt;=G35,H35-G35,H35+24-G35)-IF(E35="Ca hành chính",I35,0))))</f>
        <v/>
      </c>
      <c r="K35" s="5">
        <f>IF(D35="","",IF(E35="Ca đêm",J35,0))</f>
        <v/>
      </c>
      <c r="L35" s="5">
        <f>IF(D35="","",IF(F35="Nghỉ phép",1,ROUND(MIN(J35,8)/8,2)))</f>
        <v/>
      </c>
      <c r="M35" s="5">
        <f>IF(D35="","",MAX(0,J35-8))</f>
        <v/>
      </c>
    </row>
    <row r="36">
      <c r="A36" s="2" t="n"/>
      <c r="B36" s="3" t="n"/>
      <c r="C36" s="4" t="n"/>
      <c r="D36" s="4" t="n"/>
      <c r="E36" s="4" t="n"/>
      <c r="F36" s="4" t="n"/>
      <c r="G36" s="2" t="n"/>
      <c r="H36" s="2" t="n"/>
      <c r="I36" s="2" t="n"/>
      <c r="J36" s="5">
        <f>IF(D36="","",IF(F36&lt;&gt;"Đi làm",0,MAX(0,IF(H36&gt;=G36,H36-G36,H36+24-G36)-IF(E36="Ca hành chính",I36,0))))</f>
        <v/>
      </c>
      <c r="K36" s="5">
        <f>IF(D36="","",IF(E36="Ca đêm",J36,0))</f>
        <v/>
      </c>
      <c r="L36" s="5">
        <f>IF(D36="","",IF(F36="Nghỉ phép",1,ROUND(MIN(J36,8)/8,2)))</f>
        <v/>
      </c>
      <c r="M36" s="5">
        <f>IF(D36="","",MAX(0,J36-8))</f>
        <v/>
      </c>
    </row>
    <row r="37">
      <c r="A37" s="2" t="n"/>
      <c r="B37" s="3" t="n"/>
      <c r="C37" s="4" t="n"/>
      <c r="D37" s="4" t="n"/>
      <c r="E37" s="4" t="n"/>
      <c r="F37" s="4" t="n"/>
      <c r="G37" s="2" t="n"/>
      <c r="H37" s="2" t="n"/>
      <c r="I37" s="2" t="n"/>
      <c r="J37" s="5">
        <f>IF(D37="","",IF(F37&lt;&gt;"Đi làm",0,MAX(0,IF(H37&gt;=G37,H37-G37,H37+24-G37)-IF(E37="Ca hành chính",I37,0))))</f>
        <v/>
      </c>
      <c r="K37" s="5">
        <f>IF(D37="","",IF(E37="Ca đêm",J37,0))</f>
        <v/>
      </c>
      <c r="L37" s="5">
        <f>IF(D37="","",IF(F37="Nghỉ phép",1,ROUND(MIN(J37,8)/8,2)))</f>
        <v/>
      </c>
      <c r="M37" s="5">
        <f>IF(D37="","",MAX(0,J37-8))</f>
        <v/>
      </c>
    </row>
  </sheetData>
  <autoFilter ref="A1:M37"/>
  <dataValidations count="5">
    <dataValidation sqref="E2:E37" showDropDown="0" showInputMessage="0" showErrorMessage="0" allowBlank="1" errorTitle="Sai định dạng" error="Giá trị không hợp lệ cho cột này." type="list">
      <formula1>"Ca sáng,Ca chiều,Ca đêm,Ca hành chính"</formula1>
    </dataValidation>
    <dataValidation sqref="F2:F37" showDropDown="0" showInputMessage="0" showErrorMessage="0" allowBlank="1" errorTitle="Sai định dạng" error="Giá trị không hợp lệ cho cột này." type="list">
      <formula1>"Đi làm,Vắng,Nghỉ phép,Đổi ca"</formula1>
    </dataValidation>
    <dataValidation sqref="G2:G37" showDropDown="0" showInputMessage="0" showErrorMessage="0" allowBlank="1" errorTitle="Sai định dạng" error="Giá trị không hợp lệ cho cột này." type="decimal" operator="between">
      <formula1>0</formula1>
      <formula2>24</formula2>
    </dataValidation>
    <dataValidation sqref="H2:H37" showDropDown="0" showInputMessage="0" showErrorMessage="0" allowBlank="1" errorTitle="Sai định dạng" error="Giá trị không hợp lệ cho cột này." type="decimal" operator="between">
      <formula1>0</formula1>
      <formula2>24</formula2>
    </dataValidation>
    <dataValidation sqref="I2:I37" showDropDown="0" showInputMessage="0" showErrorMessage="0" allowBlank="1" errorTitle="Sai định dạng" error="Giá trị không hợp lệ cho cột này." type="decimal" operator="between">
      <formula1>0</formula1>
      <formula2>4</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6"/>
  <sheetViews>
    <sheetView workbookViewId="0">
      <selection activeCell="A1" sqref="A1"/>
    </sheetView>
  </sheetViews>
  <sheetFormatPr baseColWidth="8" defaultRowHeight="15"/>
  <cols>
    <col width="4" customWidth="1" min="1" max="1"/>
    <col width="100" customWidth="1" min="2" max="2"/>
  </cols>
  <sheetData>
    <row r="1">
      <c r="B1" s="6" t="inlineStr">
        <is>
          <t>Mẫu Excel chấm công theo ca, tính đúng cả ca đêm vắt sang ngày sau</t>
        </is>
      </c>
    </row>
    <row r="2">
      <c r="B2" s="7" t="inlineStr"/>
    </row>
    <row r="3">
      <c r="B3" s="8" t="inlineStr">
        <is>
          <t>CÁCH DÙNG</t>
        </is>
      </c>
    </row>
    <row r="4">
      <c r="B4" s="9" t="inlineStr">
        <is>
          <t>1. Nhập giờ dưới dạng số nguyên hoặc số lẻ, đừng nhập kiểu giờ phút</t>
        </is>
      </c>
    </row>
    <row r="5">
      <c r="B5" s="7" t="inlineStr">
        <is>
          <t xml:space="preserve">   Vào lúc 22 giờ thì điền 22, ra lúc 6 giờ 30 thì điền 6.5. Dùng định dạng giờ của Excel ở đây sẽ làm phép trừ vắt qua nửa đêm khó đọc hơn nhiều, còn nhập số thì công thức chỉ là phép cộng trừ mà ai cũng kiểm lại được bằng mắt.</t>
        </is>
      </c>
    </row>
    <row r="6">
      <c r="B6" s="9" t="inlineStr">
        <is>
          <t>2. Chọn ca trước khi điền giờ</t>
        </is>
      </c>
    </row>
    <row r="7">
      <c r="B7" s="7" t="inlineStr">
        <is>
          <t xml:space="preserve">   Cột Ca quyết định cột Giờ trong đêm tính ra bao nhiêu, nên bỏ trống cột này thì giờ đêm về 0 và người làm ca đêm mất phụ cấp. Ca hành chính dùng cho nhân viên khối văn phòng vẫn chấm chung trên file này.</t>
        </is>
      </c>
    </row>
    <row r="8">
      <c r="B8" s="9" t="inlineStr">
        <is>
          <t>3. Ghi giờ nghỉ giữa ca đúng thực tế, kể cả khi nó không bị trừ</t>
        </is>
      </c>
    </row>
    <row r="9">
      <c r="B9" s="7" t="inlineStr">
        <is>
          <t xml:space="preserve">   Nghỉ ăn 30 phút thì điền 0.5, nghỉ một tiếng thì điền 1. Số này chỉ bị trừ khỏi giờ làm với Ca hành chính; ba ca sản xuất thì nghỉ giữa giờ được tính vào giờ làm việc nên không trừ. Vẫn phải điền cho cả ba ca đó, vì đây là bằng chứng công ty đã cho nghỉ giữa giờ đủ mức luật yêu cầu.</t>
        </is>
      </c>
    </row>
    <row r="10">
      <c r="B10" s="9" t="inlineStr">
        <is>
          <t>4. Dùng cột Trạng thái cho ngày vắng, đừng xóa dòng</t>
        </is>
      </c>
    </row>
    <row r="11">
      <c r="B11" s="7" t="inlineStr">
        <is>
          <t xml:space="preserve">   Người được phân ca mà không đến thì vẫn giữ dòng đó và đổi trạng thái sang Vắng, mọi cột tính tự về 0. Xóa dòng đi thì cuối tháng bạn không còn bằng chứng là người đó đã được phân ca, và tỷ lệ đi làm tính ra sẽ đẹp hơn thực tế.</t>
        </is>
      </c>
    </row>
    <row r="12">
      <c r="B12" s="9" t="inlineStr">
        <is>
          <t>5. Cuối tháng cộng theo mã nhân viên rồi chuyển sang hai file kia</t>
        </is>
      </c>
    </row>
    <row r="13">
      <c r="B13" s="7" t="inlineStr">
        <is>
          <t xml:space="preserve">   SUMIF cột Công quy đổi theo Mã NV cho ra số công hưởng lương của bảng tính lương. SUMIF cột Giờ trong đêm và cột Giờ vượt ca cho ra hai con số mà bảng tính lương làm thêm giờ cần.</t>
        </is>
      </c>
    </row>
    <row r="14">
      <c r="B14" s="7" t="inlineStr"/>
    </row>
    <row r="15">
      <c r="B15" s="8" t="inlineStr">
        <is>
          <t>CÔNG THỨC TRONG FILE</t>
        </is>
      </c>
    </row>
    <row r="16">
      <c r="B16" s="9" t="inlineStr">
        <is>
          <t>Số giờ làm  —  =IF(D2="","",IF(F2&lt;&gt;"Đi làm",0,MAX(0,IF(H2&gt;=G2,H2-G2,H2+24-G2)-IF(E2="Ca hành chính",I2,0))))</t>
        </is>
      </c>
    </row>
    <row r="17">
      <c r="B17" s="7" t="inlineStr">
        <is>
          <t xml:space="preserve">   Hàm IF bên trong xử lý ca vắt qua nửa đêm: giờ ra nhỏ hơn giờ vào thì cộng 24 trước khi trừ, nên vào 22 ra 6 ra đúng 8 tiếng chứ không ra âm 16. Giờ nghỉ giữa ca chỉ bị trừ với Ca hành chính, vì người làm ca liên tục từ 6 giờ trở lên được tính thời gian nghỉ giữa giờ vào giờ làm việc theo Điều 109 Bộ luật Lao động. MAX chặn kết quả âm khi điền giờ sai, còn IF ngoài cùng đưa mọi dòng không phải Đi làm về 0.</t>
        </is>
      </c>
    </row>
    <row r="18">
      <c r="B18" s="9" t="inlineStr">
        <is>
          <t>Giờ trong đêm  —  =IF(D2="","",IF(E2="Ca đêm",J2,0))</t>
        </is>
      </c>
    </row>
    <row r="19">
      <c r="B19" s="7" t="inlineStr">
        <is>
          <t xml:space="preserve">   Khung ban đêm theo luật là từ 22 giờ đến 6 giờ sáng hôm sau, và ca đêm được thiết kế nằm trọn trong khung đó nên lấy luôn số giờ làm. Công ty có ca lệch chỉ nằm một phần trong khung đêm thì thêm loại ca mới và sửa công thức cho riêng loại đó.</t>
        </is>
      </c>
    </row>
    <row r="20">
      <c r="B20" s="9" t="inlineStr">
        <is>
          <t>Công quy đổi  —  =IF(D2="","",IF(F2="Nghỉ phép",1,ROUND(MIN(J2,8)/8,2)))</t>
        </is>
      </c>
    </row>
    <row r="21">
      <c r="B21" s="7" t="inlineStr">
        <is>
          <t xml:space="preserve">   Một ca đủ 8 tiếng tính một công. MIN chặn ở 8 nên làm 10 tiếng vẫn chỉ một công, phần dôi ra đã nằm ở cột Giờ vượt ca và được trả theo mức làm thêm giờ. Nghỉ phép hưởng lương vẫn tính đủ một công vì đó là ngày có hưởng lương.</t>
        </is>
      </c>
    </row>
    <row r="22">
      <c r="B22" s="9" t="inlineStr">
        <is>
          <t>Giờ vượt ca  —  =IF(D2="","",MAX(0,J2-8))</t>
        </is>
      </c>
    </row>
    <row r="23">
      <c r="B23" s="7" t="inlineStr">
        <is>
          <t xml:space="preserve">   Phần giờ quá 8 tiếng của riêng ca này, là căn cứ để tính làm thêm giờ. Chưa ra tiền được ở đây vì còn phụ thuộc ca rơi vào ngày thường, ngày nghỉ tuần hay ngày lễ, nên con số này được chuyển sang mẫu tính lương làm thêm giờ.</t>
        </is>
      </c>
    </row>
    <row r="24">
      <c r="B24" s="7" t="inlineStr"/>
    </row>
    <row r="25">
      <c r="B25" s="9" t="inlineStr">
        <is>
          <t>Bản cập nhật mới nhất và hướng dẫn chi tiết:</t>
        </is>
      </c>
    </row>
    <row r="26">
      <c r="B26" s="10" t="inlineStr">
        <is>
          <t>https://excel.nguyenvietloc.com/mau-excel/nhan-su/bang-cham-cong-theo-ca</t>
        </is>
      </c>
    </row>
  </sheetData>
  <hyperlinks>
    <hyperlink xmlns:r="http://schemas.openxmlformats.org/officeDocument/2006/relationships" ref="B2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2026-07-30T14:22:30Z</dcterms:created>
  <dcterms:modified xsi:type="dcterms:W3CDTF">2026-07-30T14:22:30Z</dcterms:modified>
</cp:coreProperties>
</file>