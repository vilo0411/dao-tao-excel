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ánh giá KPI" sheetId="1" state="visible" r:id="rId1"/>
    <sheet name="Hướng dẫn" sheetId="2" state="visible" r:id="rId2"/>
  </sheets>
  <definedNames>
    <definedName name="_xlnm._FilterDatabase" localSheetId="0" hidden="1">'Đánh giá KPI'!$A$1:$N$38</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danh-gia-kpi-nhan-vien" TargetMode="External" Id="rId1" /></Relationships>
</file>

<file path=xl/worksheets/sheet1.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2" customWidth="1" min="3" max="3"/>
    <col width="24" customWidth="1" min="4" max="4"/>
    <col width="16" customWidth="1" min="5" max="5"/>
    <col width="30" customWidth="1" min="6" max="6"/>
    <col width="12" customWidth="1" min="7" max="7"/>
    <col width="18" customWidth="1" min="8" max="8"/>
    <col width="11" customWidth="1" min="9" max="9"/>
    <col width="13" customWidth="1" min="10" max="10"/>
    <col width="13" customWidth="1" min="11" max="11"/>
    <col width="17" customWidth="1" min="12" max="12"/>
    <col width="17" customWidth="1" min="13" max="13"/>
    <col width="17" customWidth="1" min="14" max="14"/>
  </cols>
  <sheetData>
    <row r="1" ht="32" customHeight="1">
      <c r="A1" s="1" t="inlineStr">
        <is>
          <t>STT</t>
        </is>
      </c>
      <c r="B1" s="1" t="inlineStr">
        <is>
          <t>Kỳ</t>
        </is>
      </c>
      <c r="C1" s="1" t="inlineStr">
        <is>
          <t>Mã NV</t>
        </is>
      </c>
      <c r="D1" s="1" t="inlineStr">
        <is>
          <t>Họ và tên</t>
        </is>
      </c>
      <c r="E1" s="1" t="inlineStr">
        <is>
          <t>Bộ phận</t>
        </is>
      </c>
      <c r="F1" s="1" t="inlineStr">
        <is>
          <t>Chỉ tiêu</t>
        </is>
      </c>
      <c r="G1" s="1" t="inlineStr">
        <is>
          <t>Đơn vị</t>
        </is>
      </c>
      <c r="H1" s="1" t="inlineStr">
        <is>
          <t>Chiều chỉ tiêu</t>
        </is>
      </c>
      <c r="I1" s="1" t="inlineStr">
        <is>
          <t>Trọng số</t>
        </is>
      </c>
      <c r="J1" s="1" t="inlineStr">
        <is>
          <t>Mục tiêu</t>
        </is>
      </c>
      <c r="K1" s="1" t="inlineStr">
        <is>
          <t>Thực hiện</t>
        </is>
      </c>
      <c r="L1" s="1" t="inlineStr">
        <is>
          <t>Tỷ lệ hoàn thành</t>
        </is>
      </c>
      <c r="M1" s="1" t="inlineStr">
        <is>
          <t>Điểm có trọng số</t>
        </is>
      </c>
      <c r="N1" s="1" t="inlineStr">
        <is>
          <t>Xếp loại chỉ tiêu</t>
        </is>
      </c>
    </row>
    <row r="2">
      <c r="A2" s="2" t="n">
        <v>1</v>
      </c>
      <c r="B2" s="3" t="inlineStr">
        <is>
          <t>Q3-2026</t>
        </is>
      </c>
      <c r="C2" s="3" t="inlineStr">
        <is>
          <t>NV001</t>
        </is>
      </c>
      <c r="D2" s="3" t="inlineStr">
        <is>
          <t>Nguyễn Thị Mai</t>
        </is>
      </c>
      <c r="E2" s="3" t="inlineStr">
        <is>
          <t>Kinh doanh</t>
        </is>
      </c>
      <c r="F2" s="3" t="inlineStr">
        <is>
          <t>Doanh thu ký mới</t>
        </is>
      </c>
      <c r="G2" s="3" t="inlineStr">
        <is>
          <t>triệu đồng</t>
        </is>
      </c>
      <c r="H2" s="3" t="inlineStr">
        <is>
          <t>Càng cao càng tốt</t>
        </is>
      </c>
      <c r="I2" s="4" t="n">
        <v>0.5</v>
      </c>
      <c r="J2" s="2" t="n">
        <v>900</v>
      </c>
      <c r="K2" s="2" t="n">
        <v>1080</v>
      </c>
      <c r="L2" s="5">
        <f>IF(D2="","",MIN(1.2,IF(H2="Càng thấp càng tốt",IFERROR(J2/K2,1.2),IFERROR(K2/J2,0))))</f>
        <v/>
      </c>
      <c r="M2" s="6">
        <f>IF(D2="","",ROUND(L2*I2,4))</f>
        <v/>
      </c>
      <c r="N2" s="7">
        <f>IF(D2="","",IF(L2&gt;=1.1,"Xuất sắc",IF(L2&gt;=1,"Đạt",IF(L2&gt;=0.8,"Cần cải thiện","Không đạt"))))</f>
        <v/>
      </c>
    </row>
    <row r="3">
      <c r="A3" s="2" t="n">
        <v>2</v>
      </c>
      <c r="B3" s="3" t="inlineStr">
        <is>
          <t>Q3-2026</t>
        </is>
      </c>
      <c r="C3" s="3" t="inlineStr">
        <is>
          <t>NV001</t>
        </is>
      </c>
      <c r="D3" s="3" t="inlineStr">
        <is>
          <t>Nguyễn Thị Mai</t>
        </is>
      </c>
      <c r="E3" s="3" t="inlineStr">
        <is>
          <t>Kinh doanh</t>
        </is>
      </c>
      <c r="F3" s="3" t="inlineStr">
        <is>
          <t>Số khách hàng mới</t>
        </is>
      </c>
      <c r="G3" s="3" t="inlineStr">
        <is>
          <t>khách</t>
        </is>
      </c>
      <c r="H3" s="3" t="inlineStr">
        <is>
          <t>Càng cao càng tốt</t>
        </is>
      </c>
      <c r="I3" s="4" t="n">
        <v>0.3</v>
      </c>
      <c r="J3" s="2" t="n">
        <v>12</v>
      </c>
      <c r="K3" s="2" t="n">
        <v>9</v>
      </c>
      <c r="L3" s="5">
        <f>IF(D3="","",MIN(1.2,IF(H3="Càng thấp càng tốt",IFERROR(J3/K3,1.2),IFERROR(K3/J3,0))))</f>
        <v/>
      </c>
      <c r="M3" s="6">
        <f>IF(D3="","",ROUND(L3*I3,4))</f>
        <v/>
      </c>
      <c r="N3" s="7">
        <f>IF(D3="","",IF(L3&gt;=1.1,"Xuất sắc",IF(L3&gt;=1,"Đạt",IF(L3&gt;=0.8,"Cần cải thiện","Không đạt"))))</f>
        <v/>
      </c>
    </row>
    <row r="4">
      <c r="A4" s="2" t="n">
        <v>3</v>
      </c>
      <c r="B4" s="3" t="inlineStr">
        <is>
          <t>Q3-2026</t>
        </is>
      </c>
      <c r="C4" s="3" t="inlineStr">
        <is>
          <t>NV001</t>
        </is>
      </c>
      <c r="D4" s="3" t="inlineStr">
        <is>
          <t>Nguyễn Thị Mai</t>
        </is>
      </c>
      <c r="E4" s="3" t="inlineStr">
        <is>
          <t>Kinh doanh</t>
        </is>
      </c>
      <c r="F4" s="3" t="inlineStr">
        <is>
          <t>Tỷ lệ khách rời đi</t>
        </is>
      </c>
      <c r="G4" s="3" t="inlineStr">
        <is>
          <t>%</t>
        </is>
      </c>
      <c r="H4" s="3" t="inlineStr">
        <is>
          <t>Càng thấp càng tốt</t>
        </is>
      </c>
      <c r="I4" s="4" t="n">
        <v>0.2</v>
      </c>
      <c r="J4" s="2" t="n">
        <v>8</v>
      </c>
      <c r="K4" s="2" t="n">
        <v>5</v>
      </c>
      <c r="L4" s="5">
        <f>IF(D4="","",MIN(1.2,IF(H4="Càng thấp càng tốt",IFERROR(J4/K4,1.2),IFERROR(K4/J4,0))))</f>
        <v/>
      </c>
      <c r="M4" s="6">
        <f>IF(D4="","",ROUND(L4*I4,4))</f>
        <v/>
      </c>
      <c r="N4" s="7">
        <f>IF(D4="","",IF(L4&gt;=1.1,"Xuất sắc",IF(L4&gt;=1,"Đạt",IF(L4&gt;=0.8,"Cần cải thiện","Không đạt"))))</f>
        <v/>
      </c>
    </row>
    <row r="5">
      <c r="A5" s="2" t="n">
        <v>4</v>
      </c>
      <c r="B5" s="3" t="inlineStr">
        <is>
          <t>Q3-2026</t>
        </is>
      </c>
      <c r="C5" s="3" t="inlineStr">
        <is>
          <t>NV003</t>
        </is>
      </c>
      <c r="D5" s="3" t="inlineStr">
        <is>
          <t>Lê Thu Hà</t>
        </is>
      </c>
      <c r="E5" s="3" t="inlineStr">
        <is>
          <t>Kế toán</t>
        </is>
      </c>
      <c r="F5" s="3" t="inlineStr">
        <is>
          <t>Số ngày trễ hạn báo cáo</t>
        </is>
      </c>
      <c r="G5" s="3" t="inlineStr">
        <is>
          <t>ngày</t>
        </is>
      </c>
      <c r="H5" s="3" t="inlineStr">
        <is>
          <t>Càng thấp càng tốt</t>
        </is>
      </c>
      <c r="I5" s="4" t="n">
        <v>0.6</v>
      </c>
      <c r="J5" s="2" t="n">
        <v>2</v>
      </c>
      <c r="K5" s="2" t="n">
        <v>0</v>
      </c>
      <c r="L5" s="5">
        <f>IF(D5="","",MIN(1.2,IF(H5="Càng thấp càng tốt",IFERROR(J5/K5,1.2),IFERROR(K5/J5,0))))</f>
        <v/>
      </c>
      <c r="M5" s="6">
        <f>IF(D5="","",ROUND(L5*I5,4))</f>
        <v/>
      </c>
      <c r="N5" s="7">
        <f>IF(D5="","",IF(L5&gt;=1.1,"Xuất sắc",IF(L5&gt;=1,"Đạt",IF(L5&gt;=0.8,"Cần cải thiện","Không đạt"))))</f>
        <v/>
      </c>
    </row>
    <row r="6">
      <c r="A6" s="2" t="n">
        <v>5</v>
      </c>
      <c r="B6" s="3" t="inlineStr">
        <is>
          <t>Q3-2026</t>
        </is>
      </c>
      <c r="C6" s="3" t="inlineStr">
        <is>
          <t>NV003</t>
        </is>
      </c>
      <c r="D6" s="3" t="inlineStr">
        <is>
          <t>Lê Thu Hà</t>
        </is>
      </c>
      <c r="E6" s="3" t="inlineStr">
        <is>
          <t>Kế toán</t>
        </is>
      </c>
      <c r="F6" s="3" t="inlineStr">
        <is>
          <t>Tỷ lệ bút toán sai phải điều chỉnh</t>
        </is>
      </c>
      <c r="G6" s="3" t="inlineStr">
        <is>
          <t>%</t>
        </is>
      </c>
      <c r="H6" s="3" t="inlineStr">
        <is>
          <t>Càng thấp càng tốt</t>
        </is>
      </c>
      <c r="I6" s="4" t="n">
        <v>0.4</v>
      </c>
      <c r="J6" s="2" t="n">
        <v>1</v>
      </c>
      <c r="K6" s="2" t="n">
        <v>1.6</v>
      </c>
      <c r="L6" s="5">
        <f>IF(D6="","",MIN(1.2,IF(H6="Càng thấp càng tốt",IFERROR(J6/K6,1.2),IFERROR(K6/J6,0))))</f>
        <v/>
      </c>
      <c r="M6" s="6">
        <f>IF(D6="","",ROUND(L6*I6,4))</f>
        <v/>
      </c>
      <c r="N6" s="7">
        <f>IF(D6="","",IF(L6&gt;=1.1,"Xuất sắc",IF(L6&gt;=1,"Đạt",IF(L6&gt;=0.8,"Cần cải thiện","Không đạt"))))</f>
        <v/>
      </c>
    </row>
    <row r="7">
      <c r="A7" s="2" t="n">
        <v>6</v>
      </c>
      <c r="B7" s="3" t="inlineStr">
        <is>
          <t>Q3-2026</t>
        </is>
      </c>
      <c r="C7" s="3" t="inlineStr">
        <is>
          <t>NV002</t>
        </is>
      </c>
      <c r="D7" s="3" t="inlineStr">
        <is>
          <t>Trần Văn Hùng</t>
        </is>
      </c>
      <c r="E7" s="3" t="inlineStr">
        <is>
          <t>Kỹ thuật</t>
        </is>
      </c>
      <c r="F7" s="3" t="inlineStr">
        <is>
          <t>Số phiếu bảo trì hoàn thành đúng hạn</t>
        </is>
      </c>
      <c r="G7" s="3" t="inlineStr">
        <is>
          <t>phiếu</t>
        </is>
      </c>
      <c r="H7" s="3" t="inlineStr">
        <is>
          <t>Càng cao càng tốt</t>
        </is>
      </c>
      <c r="I7" s="4" t="n">
        <v>0.7</v>
      </c>
      <c r="J7" s="2" t="n">
        <v>40</v>
      </c>
      <c r="K7" s="2" t="n">
        <v>40</v>
      </c>
      <c r="L7" s="5">
        <f>IF(D7="","",MIN(1.2,IF(H7="Càng thấp càng tốt",IFERROR(J7/K7,1.2),IFERROR(K7/J7,0))))</f>
        <v/>
      </c>
      <c r="M7" s="6">
        <f>IF(D7="","",ROUND(L7*I7,4))</f>
        <v/>
      </c>
      <c r="N7" s="7">
        <f>IF(D7="","",IF(L7&gt;=1.1,"Xuất sắc",IF(L7&gt;=1,"Đạt",IF(L7&gt;=0.8,"Cần cải thiện","Không đạt"))))</f>
        <v/>
      </c>
    </row>
    <row r="8">
      <c r="A8" s="2" t="n">
        <v>7</v>
      </c>
      <c r="B8" s="3" t="inlineStr">
        <is>
          <t>Q3-2026</t>
        </is>
      </c>
      <c r="C8" s="3" t="inlineStr">
        <is>
          <t>NV002</t>
        </is>
      </c>
      <c r="D8" s="3" t="inlineStr">
        <is>
          <t>Trần Văn Hùng</t>
        </is>
      </c>
      <c r="E8" s="3" t="inlineStr">
        <is>
          <t>Kỹ thuật</t>
        </is>
      </c>
      <c r="F8" s="3" t="inlineStr">
        <is>
          <t>Số lần sự cố lặp lại</t>
        </is>
      </c>
      <c r="G8" s="3" t="inlineStr">
        <is>
          <t>lần</t>
        </is>
      </c>
      <c r="H8" s="3" t="inlineStr">
        <is>
          <t>Càng thấp càng tốt</t>
        </is>
      </c>
      <c r="I8" s="4" t="n">
        <v>0.3</v>
      </c>
      <c r="J8" s="2" t="n">
        <v>3</v>
      </c>
      <c r="K8" s="2" t="n">
        <v>6</v>
      </c>
      <c r="L8" s="5">
        <f>IF(D8="","",MIN(1.2,IF(H8="Càng thấp càng tốt",IFERROR(J8/K8,1.2),IFERROR(K8/J8,0))))</f>
        <v/>
      </c>
      <c r="M8" s="6">
        <f>IF(D8="","",ROUND(L8*I8,4))</f>
        <v/>
      </c>
      <c r="N8" s="7">
        <f>IF(D8="","",IF(L8&gt;=1.1,"Xuất sắc",IF(L8&gt;=1,"Đạt",IF(L8&gt;=0.8,"Cần cải thiện","Không đạt"))))</f>
        <v/>
      </c>
    </row>
    <row r="9">
      <c r="A9" s="2" t="n"/>
      <c r="B9" s="3" t="n"/>
      <c r="C9" s="3" t="n"/>
      <c r="D9" s="3" t="n"/>
      <c r="E9" s="3" t="n"/>
      <c r="F9" s="3" t="n"/>
      <c r="G9" s="3" t="n"/>
      <c r="H9" s="3" t="n"/>
      <c r="I9" s="4" t="n"/>
      <c r="J9" s="2" t="n"/>
      <c r="K9" s="2" t="n"/>
      <c r="L9" s="5">
        <f>IF(D9="","",MIN(1.2,IF(H9="Càng thấp càng tốt",IFERROR(J9/K9,1.2),IFERROR(K9/J9,0))))</f>
        <v/>
      </c>
      <c r="M9" s="6">
        <f>IF(D9="","",ROUND(L9*I9,4))</f>
        <v/>
      </c>
      <c r="N9" s="7">
        <f>IF(D9="","",IF(L9&gt;=1.1,"Xuất sắc",IF(L9&gt;=1,"Đạt",IF(L9&gt;=0.8,"Cần cải thiện","Không đạt"))))</f>
        <v/>
      </c>
    </row>
    <row r="10">
      <c r="A10" s="2" t="n"/>
      <c r="B10" s="3" t="n"/>
      <c r="C10" s="3" t="n"/>
      <c r="D10" s="3" t="n"/>
      <c r="E10" s="3" t="n"/>
      <c r="F10" s="3" t="n"/>
      <c r="G10" s="3" t="n"/>
      <c r="H10" s="3" t="n"/>
      <c r="I10" s="4" t="n"/>
      <c r="J10" s="2" t="n"/>
      <c r="K10" s="2" t="n"/>
      <c r="L10" s="5">
        <f>IF(D10="","",MIN(1.2,IF(H10="Càng thấp càng tốt",IFERROR(J10/K10,1.2),IFERROR(K10/J10,0))))</f>
        <v/>
      </c>
      <c r="M10" s="6">
        <f>IF(D10="","",ROUND(L10*I10,4))</f>
        <v/>
      </c>
      <c r="N10" s="7">
        <f>IF(D10="","",IF(L10&gt;=1.1,"Xuất sắc",IF(L10&gt;=1,"Đạt",IF(L10&gt;=0.8,"Cần cải thiện","Không đạt"))))</f>
        <v/>
      </c>
    </row>
    <row r="11">
      <c r="A11" s="2" t="n"/>
      <c r="B11" s="3" t="n"/>
      <c r="C11" s="3" t="n"/>
      <c r="D11" s="3" t="n"/>
      <c r="E11" s="3" t="n"/>
      <c r="F11" s="3" t="n"/>
      <c r="G11" s="3" t="n"/>
      <c r="H11" s="3" t="n"/>
      <c r="I11" s="4" t="n"/>
      <c r="J11" s="2" t="n"/>
      <c r="K11" s="2" t="n"/>
      <c r="L11" s="5">
        <f>IF(D11="","",MIN(1.2,IF(H11="Càng thấp càng tốt",IFERROR(J11/K11,1.2),IFERROR(K11/J11,0))))</f>
        <v/>
      </c>
      <c r="M11" s="6">
        <f>IF(D11="","",ROUND(L11*I11,4))</f>
        <v/>
      </c>
      <c r="N11" s="7">
        <f>IF(D11="","",IF(L11&gt;=1.1,"Xuất sắc",IF(L11&gt;=1,"Đạt",IF(L11&gt;=0.8,"Cần cải thiện","Không đạt"))))</f>
        <v/>
      </c>
    </row>
    <row r="12">
      <c r="A12" s="2" t="n"/>
      <c r="B12" s="3" t="n"/>
      <c r="C12" s="3" t="n"/>
      <c r="D12" s="3" t="n"/>
      <c r="E12" s="3" t="n"/>
      <c r="F12" s="3" t="n"/>
      <c r="G12" s="3" t="n"/>
      <c r="H12" s="3" t="n"/>
      <c r="I12" s="4" t="n"/>
      <c r="J12" s="2" t="n"/>
      <c r="K12" s="2" t="n"/>
      <c r="L12" s="5">
        <f>IF(D12="","",MIN(1.2,IF(H12="Càng thấp càng tốt",IFERROR(J12/K12,1.2),IFERROR(K12/J12,0))))</f>
        <v/>
      </c>
      <c r="M12" s="6">
        <f>IF(D12="","",ROUND(L12*I12,4))</f>
        <v/>
      </c>
      <c r="N12" s="7">
        <f>IF(D12="","",IF(L12&gt;=1.1,"Xuất sắc",IF(L12&gt;=1,"Đạt",IF(L12&gt;=0.8,"Cần cải thiện","Không đạt"))))</f>
        <v/>
      </c>
    </row>
    <row r="13">
      <c r="A13" s="2" t="n"/>
      <c r="B13" s="3" t="n"/>
      <c r="C13" s="3" t="n"/>
      <c r="D13" s="3" t="n"/>
      <c r="E13" s="3" t="n"/>
      <c r="F13" s="3" t="n"/>
      <c r="G13" s="3" t="n"/>
      <c r="H13" s="3" t="n"/>
      <c r="I13" s="4" t="n"/>
      <c r="J13" s="2" t="n"/>
      <c r="K13" s="2" t="n"/>
      <c r="L13" s="5">
        <f>IF(D13="","",MIN(1.2,IF(H13="Càng thấp càng tốt",IFERROR(J13/K13,1.2),IFERROR(K13/J13,0))))</f>
        <v/>
      </c>
      <c r="M13" s="6">
        <f>IF(D13="","",ROUND(L13*I13,4))</f>
        <v/>
      </c>
      <c r="N13" s="7">
        <f>IF(D13="","",IF(L13&gt;=1.1,"Xuất sắc",IF(L13&gt;=1,"Đạt",IF(L13&gt;=0.8,"Cần cải thiện","Không đạt"))))</f>
        <v/>
      </c>
    </row>
    <row r="14">
      <c r="A14" s="2" t="n"/>
      <c r="B14" s="3" t="n"/>
      <c r="C14" s="3" t="n"/>
      <c r="D14" s="3" t="n"/>
      <c r="E14" s="3" t="n"/>
      <c r="F14" s="3" t="n"/>
      <c r="G14" s="3" t="n"/>
      <c r="H14" s="3" t="n"/>
      <c r="I14" s="4" t="n"/>
      <c r="J14" s="2" t="n"/>
      <c r="K14" s="2" t="n"/>
      <c r="L14" s="5">
        <f>IF(D14="","",MIN(1.2,IF(H14="Càng thấp càng tốt",IFERROR(J14/K14,1.2),IFERROR(K14/J14,0))))</f>
        <v/>
      </c>
      <c r="M14" s="6">
        <f>IF(D14="","",ROUND(L14*I14,4))</f>
        <v/>
      </c>
      <c r="N14" s="7">
        <f>IF(D14="","",IF(L14&gt;=1.1,"Xuất sắc",IF(L14&gt;=1,"Đạt",IF(L14&gt;=0.8,"Cần cải thiện","Không đạt"))))</f>
        <v/>
      </c>
    </row>
    <row r="15">
      <c r="A15" s="2" t="n"/>
      <c r="B15" s="3" t="n"/>
      <c r="C15" s="3" t="n"/>
      <c r="D15" s="3" t="n"/>
      <c r="E15" s="3" t="n"/>
      <c r="F15" s="3" t="n"/>
      <c r="G15" s="3" t="n"/>
      <c r="H15" s="3" t="n"/>
      <c r="I15" s="4" t="n"/>
      <c r="J15" s="2" t="n"/>
      <c r="K15" s="2" t="n"/>
      <c r="L15" s="5">
        <f>IF(D15="","",MIN(1.2,IF(H15="Càng thấp càng tốt",IFERROR(J15/K15,1.2),IFERROR(K15/J15,0))))</f>
        <v/>
      </c>
      <c r="M15" s="6">
        <f>IF(D15="","",ROUND(L15*I15,4))</f>
        <v/>
      </c>
      <c r="N15" s="7">
        <f>IF(D15="","",IF(L15&gt;=1.1,"Xuất sắc",IF(L15&gt;=1,"Đạt",IF(L15&gt;=0.8,"Cần cải thiện","Không đạt"))))</f>
        <v/>
      </c>
    </row>
    <row r="16">
      <c r="A16" s="2" t="n"/>
      <c r="B16" s="3" t="n"/>
      <c r="C16" s="3" t="n"/>
      <c r="D16" s="3" t="n"/>
      <c r="E16" s="3" t="n"/>
      <c r="F16" s="3" t="n"/>
      <c r="G16" s="3" t="n"/>
      <c r="H16" s="3" t="n"/>
      <c r="I16" s="4" t="n"/>
      <c r="J16" s="2" t="n"/>
      <c r="K16" s="2" t="n"/>
      <c r="L16" s="5">
        <f>IF(D16="","",MIN(1.2,IF(H16="Càng thấp càng tốt",IFERROR(J16/K16,1.2),IFERROR(K16/J16,0))))</f>
        <v/>
      </c>
      <c r="M16" s="6">
        <f>IF(D16="","",ROUND(L16*I16,4))</f>
        <v/>
      </c>
      <c r="N16" s="7">
        <f>IF(D16="","",IF(L16&gt;=1.1,"Xuất sắc",IF(L16&gt;=1,"Đạt",IF(L16&gt;=0.8,"Cần cải thiện","Không đạt"))))</f>
        <v/>
      </c>
    </row>
    <row r="17">
      <c r="A17" s="2" t="n"/>
      <c r="B17" s="3" t="n"/>
      <c r="C17" s="3" t="n"/>
      <c r="D17" s="3" t="n"/>
      <c r="E17" s="3" t="n"/>
      <c r="F17" s="3" t="n"/>
      <c r="G17" s="3" t="n"/>
      <c r="H17" s="3" t="n"/>
      <c r="I17" s="4" t="n"/>
      <c r="J17" s="2" t="n"/>
      <c r="K17" s="2" t="n"/>
      <c r="L17" s="5">
        <f>IF(D17="","",MIN(1.2,IF(H17="Càng thấp càng tốt",IFERROR(J17/K17,1.2),IFERROR(K17/J17,0))))</f>
        <v/>
      </c>
      <c r="M17" s="6">
        <f>IF(D17="","",ROUND(L17*I17,4))</f>
        <v/>
      </c>
      <c r="N17" s="7">
        <f>IF(D17="","",IF(L17&gt;=1.1,"Xuất sắc",IF(L17&gt;=1,"Đạt",IF(L17&gt;=0.8,"Cần cải thiện","Không đạt"))))</f>
        <v/>
      </c>
    </row>
    <row r="18">
      <c r="A18" s="2" t="n"/>
      <c r="B18" s="3" t="n"/>
      <c r="C18" s="3" t="n"/>
      <c r="D18" s="3" t="n"/>
      <c r="E18" s="3" t="n"/>
      <c r="F18" s="3" t="n"/>
      <c r="G18" s="3" t="n"/>
      <c r="H18" s="3" t="n"/>
      <c r="I18" s="4" t="n"/>
      <c r="J18" s="2" t="n"/>
      <c r="K18" s="2" t="n"/>
      <c r="L18" s="5">
        <f>IF(D18="","",MIN(1.2,IF(H18="Càng thấp càng tốt",IFERROR(J18/K18,1.2),IFERROR(K18/J18,0))))</f>
        <v/>
      </c>
      <c r="M18" s="6">
        <f>IF(D18="","",ROUND(L18*I18,4))</f>
        <v/>
      </c>
      <c r="N18" s="7">
        <f>IF(D18="","",IF(L18&gt;=1.1,"Xuất sắc",IF(L18&gt;=1,"Đạt",IF(L18&gt;=0.8,"Cần cải thiện","Không đạt"))))</f>
        <v/>
      </c>
    </row>
    <row r="19">
      <c r="A19" s="2" t="n"/>
      <c r="B19" s="3" t="n"/>
      <c r="C19" s="3" t="n"/>
      <c r="D19" s="3" t="n"/>
      <c r="E19" s="3" t="n"/>
      <c r="F19" s="3" t="n"/>
      <c r="G19" s="3" t="n"/>
      <c r="H19" s="3" t="n"/>
      <c r="I19" s="4" t="n"/>
      <c r="J19" s="2" t="n"/>
      <c r="K19" s="2" t="n"/>
      <c r="L19" s="5">
        <f>IF(D19="","",MIN(1.2,IF(H19="Càng thấp càng tốt",IFERROR(J19/K19,1.2),IFERROR(K19/J19,0))))</f>
        <v/>
      </c>
      <c r="M19" s="6">
        <f>IF(D19="","",ROUND(L19*I19,4))</f>
        <v/>
      </c>
      <c r="N19" s="7">
        <f>IF(D19="","",IF(L19&gt;=1.1,"Xuất sắc",IF(L19&gt;=1,"Đạt",IF(L19&gt;=0.8,"Cần cải thiện","Không đạt"))))</f>
        <v/>
      </c>
    </row>
    <row r="20">
      <c r="A20" s="2" t="n"/>
      <c r="B20" s="3" t="n"/>
      <c r="C20" s="3" t="n"/>
      <c r="D20" s="3" t="n"/>
      <c r="E20" s="3" t="n"/>
      <c r="F20" s="3" t="n"/>
      <c r="G20" s="3" t="n"/>
      <c r="H20" s="3" t="n"/>
      <c r="I20" s="4" t="n"/>
      <c r="J20" s="2" t="n"/>
      <c r="K20" s="2" t="n"/>
      <c r="L20" s="5">
        <f>IF(D20="","",MIN(1.2,IF(H20="Càng thấp càng tốt",IFERROR(J20/K20,1.2),IFERROR(K20/J20,0))))</f>
        <v/>
      </c>
      <c r="M20" s="6">
        <f>IF(D20="","",ROUND(L20*I20,4))</f>
        <v/>
      </c>
      <c r="N20" s="7">
        <f>IF(D20="","",IF(L20&gt;=1.1,"Xuất sắc",IF(L20&gt;=1,"Đạt",IF(L20&gt;=0.8,"Cần cải thiện","Không đạt"))))</f>
        <v/>
      </c>
    </row>
    <row r="21">
      <c r="A21" s="2" t="n"/>
      <c r="B21" s="3" t="n"/>
      <c r="C21" s="3" t="n"/>
      <c r="D21" s="3" t="n"/>
      <c r="E21" s="3" t="n"/>
      <c r="F21" s="3" t="n"/>
      <c r="G21" s="3" t="n"/>
      <c r="H21" s="3" t="n"/>
      <c r="I21" s="4" t="n"/>
      <c r="J21" s="2" t="n"/>
      <c r="K21" s="2" t="n"/>
      <c r="L21" s="5">
        <f>IF(D21="","",MIN(1.2,IF(H21="Càng thấp càng tốt",IFERROR(J21/K21,1.2),IFERROR(K21/J21,0))))</f>
        <v/>
      </c>
      <c r="M21" s="6">
        <f>IF(D21="","",ROUND(L21*I21,4))</f>
        <v/>
      </c>
      <c r="N21" s="7">
        <f>IF(D21="","",IF(L21&gt;=1.1,"Xuất sắc",IF(L21&gt;=1,"Đạt",IF(L21&gt;=0.8,"Cần cải thiện","Không đạt"))))</f>
        <v/>
      </c>
    </row>
    <row r="22">
      <c r="A22" s="2" t="n"/>
      <c r="B22" s="3" t="n"/>
      <c r="C22" s="3" t="n"/>
      <c r="D22" s="3" t="n"/>
      <c r="E22" s="3" t="n"/>
      <c r="F22" s="3" t="n"/>
      <c r="G22" s="3" t="n"/>
      <c r="H22" s="3" t="n"/>
      <c r="I22" s="4" t="n"/>
      <c r="J22" s="2" t="n"/>
      <c r="K22" s="2" t="n"/>
      <c r="L22" s="5">
        <f>IF(D22="","",MIN(1.2,IF(H22="Càng thấp càng tốt",IFERROR(J22/K22,1.2),IFERROR(K22/J22,0))))</f>
        <v/>
      </c>
      <c r="M22" s="6">
        <f>IF(D22="","",ROUND(L22*I22,4))</f>
        <v/>
      </c>
      <c r="N22" s="7">
        <f>IF(D22="","",IF(L22&gt;=1.1,"Xuất sắc",IF(L22&gt;=1,"Đạt",IF(L22&gt;=0.8,"Cần cải thiện","Không đạt"))))</f>
        <v/>
      </c>
    </row>
    <row r="23">
      <c r="A23" s="2" t="n"/>
      <c r="B23" s="3" t="n"/>
      <c r="C23" s="3" t="n"/>
      <c r="D23" s="3" t="n"/>
      <c r="E23" s="3" t="n"/>
      <c r="F23" s="3" t="n"/>
      <c r="G23" s="3" t="n"/>
      <c r="H23" s="3" t="n"/>
      <c r="I23" s="4" t="n"/>
      <c r="J23" s="2" t="n"/>
      <c r="K23" s="2" t="n"/>
      <c r="L23" s="5">
        <f>IF(D23="","",MIN(1.2,IF(H23="Càng thấp càng tốt",IFERROR(J23/K23,1.2),IFERROR(K23/J23,0))))</f>
        <v/>
      </c>
      <c r="M23" s="6">
        <f>IF(D23="","",ROUND(L23*I23,4))</f>
        <v/>
      </c>
      <c r="N23" s="7">
        <f>IF(D23="","",IF(L23&gt;=1.1,"Xuất sắc",IF(L23&gt;=1,"Đạt",IF(L23&gt;=0.8,"Cần cải thiện","Không đạt"))))</f>
        <v/>
      </c>
    </row>
    <row r="24">
      <c r="A24" s="2" t="n"/>
      <c r="B24" s="3" t="n"/>
      <c r="C24" s="3" t="n"/>
      <c r="D24" s="3" t="n"/>
      <c r="E24" s="3" t="n"/>
      <c r="F24" s="3" t="n"/>
      <c r="G24" s="3" t="n"/>
      <c r="H24" s="3" t="n"/>
      <c r="I24" s="4" t="n"/>
      <c r="J24" s="2" t="n"/>
      <c r="K24" s="2" t="n"/>
      <c r="L24" s="5">
        <f>IF(D24="","",MIN(1.2,IF(H24="Càng thấp càng tốt",IFERROR(J24/K24,1.2),IFERROR(K24/J24,0))))</f>
        <v/>
      </c>
      <c r="M24" s="6">
        <f>IF(D24="","",ROUND(L24*I24,4))</f>
        <v/>
      </c>
      <c r="N24" s="7">
        <f>IF(D24="","",IF(L24&gt;=1.1,"Xuất sắc",IF(L24&gt;=1,"Đạt",IF(L24&gt;=0.8,"Cần cải thiện","Không đạt"))))</f>
        <v/>
      </c>
    </row>
    <row r="25">
      <c r="A25" s="2" t="n"/>
      <c r="B25" s="3" t="n"/>
      <c r="C25" s="3" t="n"/>
      <c r="D25" s="3" t="n"/>
      <c r="E25" s="3" t="n"/>
      <c r="F25" s="3" t="n"/>
      <c r="G25" s="3" t="n"/>
      <c r="H25" s="3" t="n"/>
      <c r="I25" s="4" t="n"/>
      <c r="J25" s="2" t="n"/>
      <c r="K25" s="2" t="n"/>
      <c r="L25" s="5">
        <f>IF(D25="","",MIN(1.2,IF(H25="Càng thấp càng tốt",IFERROR(J25/K25,1.2),IFERROR(K25/J25,0))))</f>
        <v/>
      </c>
      <c r="M25" s="6">
        <f>IF(D25="","",ROUND(L25*I25,4))</f>
        <v/>
      </c>
      <c r="N25" s="7">
        <f>IF(D25="","",IF(L25&gt;=1.1,"Xuất sắc",IF(L25&gt;=1,"Đạt",IF(L25&gt;=0.8,"Cần cải thiện","Không đạt"))))</f>
        <v/>
      </c>
    </row>
    <row r="26">
      <c r="A26" s="2" t="n"/>
      <c r="B26" s="3" t="n"/>
      <c r="C26" s="3" t="n"/>
      <c r="D26" s="3" t="n"/>
      <c r="E26" s="3" t="n"/>
      <c r="F26" s="3" t="n"/>
      <c r="G26" s="3" t="n"/>
      <c r="H26" s="3" t="n"/>
      <c r="I26" s="4" t="n"/>
      <c r="J26" s="2" t="n"/>
      <c r="K26" s="2" t="n"/>
      <c r="L26" s="5">
        <f>IF(D26="","",MIN(1.2,IF(H26="Càng thấp càng tốt",IFERROR(J26/K26,1.2),IFERROR(K26/J26,0))))</f>
        <v/>
      </c>
      <c r="M26" s="6">
        <f>IF(D26="","",ROUND(L26*I26,4))</f>
        <v/>
      </c>
      <c r="N26" s="7">
        <f>IF(D26="","",IF(L26&gt;=1.1,"Xuất sắc",IF(L26&gt;=1,"Đạt",IF(L26&gt;=0.8,"Cần cải thiện","Không đạt"))))</f>
        <v/>
      </c>
    </row>
    <row r="27">
      <c r="A27" s="2" t="n"/>
      <c r="B27" s="3" t="n"/>
      <c r="C27" s="3" t="n"/>
      <c r="D27" s="3" t="n"/>
      <c r="E27" s="3" t="n"/>
      <c r="F27" s="3" t="n"/>
      <c r="G27" s="3" t="n"/>
      <c r="H27" s="3" t="n"/>
      <c r="I27" s="4" t="n"/>
      <c r="J27" s="2" t="n"/>
      <c r="K27" s="2" t="n"/>
      <c r="L27" s="5">
        <f>IF(D27="","",MIN(1.2,IF(H27="Càng thấp càng tốt",IFERROR(J27/K27,1.2),IFERROR(K27/J27,0))))</f>
        <v/>
      </c>
      <c r="M27" s="6">
        <f>IF(D27="","",ROUND(L27*I27,4))</f>
        <v/>
      </c>
      <c r="N27" s="7">
        <f>IF(D27="","",IF(L27&gt;=1.1,"Xuất sắc",IF(L27&gt;=1,"Đạt",IF(L27&gt;=0.8,"Cần cải thiện","Không đạt"))))</f>
        <v/>
      </c>
    </row>
    <row r="28">
      <c r="A28" s="2" t="n"/>
      <c r="B28" s="3" t="n"/>
      <c r="C28" s="3" t="n"/>
      <c r="D28" s="3" t="n"/>
      <c r="E28" s="3" t="n"/>
      <c r="F28" s="3" t="n"/>
      <c r="G28" s="3" t="n"/>
      <c r="H28" s="3" t="n"/>
      <c r="I28" s="4" t="n"/>
      <c r="J28" s="2" t="n"/>
      <c r="K28" s="2" t="n"/>
      <c r="L28" s="5">
        <f>IF(D28="","",MIN(1.2,IF(H28="Càng thấp càng tốt",IFERROR(J28/K28,1.2),IFERROR(K28/J28,0))))</f>
        <v/>
      </c>
      <c r="M28" s="6">
        <f>IF(D28="","",ROUND(L28*I28,4))</f>
        <v/>
      </c>
      <c r="N28" s="7">
        <f>IF(D28="","",IF(L28&gt;=1.1,"Xuất sắc",IF(L28&gt;=1,"Đạt",IF(L28&gt;=0.8,"Cần cải thiện","Không đạt"))))</f>
        <v/>
      </c>
    </row>
    <row r="29">
      <c r="A29" s="2" t="n"/>
      <c r="B29" s="3" t="n"/>
      <c r="C29" s="3" t="n"/>
      <c r="D29" s="3" t="n"/>
      <c r="E29" s="3" t="n"/>
      <c r="F29" s="3" t="n"/>
      <c r="G29" s="3" t="n"/>
      <c r="H29" s="3" t="n"/>
      <c r="I29" s="4" t="n"/>
      <c r="J29" s="2" t="n"/>
      <c r="K29" s="2" t="n"/>
      <c r="L29" s="5">
        <f>IF(D29="","",MIN(1.2,IF(H29="Càng thấp càng tốt",IFERROR(J29/K29,1.2),IFERROR(K29/J29,0))))</f>
        <v/>
      </c>
      <c r="M29" s="6">
        <f>IF(D29="","",ROUND(L29*I29,4))</f>
        <v/>
      </c>
      <c r="N29" s="7">
        <f>IF(D29="","",IF(L29&gt;=1.1,"Xuất sắc",IF(L29&gt;=1,"Đạt",IF(L29&gt;=0.8,"Cần cải thiện","Không đạt"))))</f>
        <v/>
      </c>
    </row>
    <row r="30">
      <c r="A30" s="2" t="n"/>
      <c r="B30" s="3" t="n"/>
      <c r="C30" s="3" t="n"/>
      <c r="D30" s="3" t="n"/>
      <c r="E30" s="3" t="n"/>
      <c r="F30" s="3" t="n"/>
      <c r="G30" s="3" t="n"/>
      <c r="H30" s="3" t="n"/>
      <c r="I30" s="4" t="n"/>
      <c r="J30" s="2" t="n"/>
      <c r="K30" s="2" t="n"/>
      <c r="L30" s="5">
        <f>IF(D30="","",MIN(1.2,IF(H30="Càng thấp càng tốt",IFERROR(J30/K30,1.2),IFERROR(K30/J30,0))))</f>
        <v/>
      </c>
      <c r="M30" s="6">
        <f>IF(D30="","",ROUND(L30*I30,4))</f>
        <v/>
      </c>
      <c r="N30" s="7">
        <f>IF(D30="","",IF(L30&gt;=1.1,"Xuất sắc",IF(L30&gt;=1,"Đạt",IF(L30&gt;=0.8,"Cần cải thiện","Không đạt"))))</f>
        <v/>
      </c>
    </row>
    <row r="31">
      <c r="A31" s="2" t="n"/>
      <c r="B31" s="3" t="n"/>
      <c r="C31" s="3" t="n"/>
      <c r="D31" s="3" t="n"/>
      <c r="E31" s="3" t="n"/>
      <c r="F31" s="3" t="n"/>
      <c r="G31" s="3" t="n"/>
      <c r="H31" s="3" t="n"/>
      <c r="I31" s="4" t="n"/>
      <c r="J31" s="2" t="n"/>
      <c r="K31" s="2" t="n"/>
      <c r="L31" s="5">
        <f>IF(D31="","",MIN(1.2,IF(H31="Càng thấp càng tốt",IFERROR(J31/K31,1.2),IFERROR(K31/J31,0))))</f>
        <v/>
      </c>
      <c r="M31" s="6">
        <f>IF(D31="","",ROUND(L31*I31,4))</f>
        <v/>
      </c>
      <c r="N31" s="7">
        <f>IF(D31="","",IF(L31&gt;=1.1,"Xuất sắc",IF(L31&gt;=1,"Đạt",IF(L31&gt;=0.8,"Cần cải thiện","Không đạt"))))</f>
        <v/>
      </c>
    </row>
    <row r="32">
      <c r="A32" s="2" t="n"/>
      <c r="B32" s="3" t="n"/>
      <c r="C32" s="3" t="n"/>
      <c r="D32" s="3" t="n"/>
      <c r="E32" s="3" t="n"/>
      <c r="F32" s="3" t="n"/>
      <c r="G32" s="3" t="n"/>
      <c r="H32" s="3" t="n"/>
      <c r="I32" s="4" t="n"/>
      <c r="J32" s="2" t="n"/>
      <c r="K32" s="2" t="n"/>
      <c r="L32" s="5">
        <f>IF(D32="","",MIN(1.2,IF(H32="Càng thấp càng tốt",IFERROR(J32/K32,1.2),IFERROR(K32/J32,0))))</f>
        <v/>
      </c>
      <c r="M32" s="6">
        <f>IF(D32="","",ROUND(L32*I32,4))</f>
        <v/>
      </c>
      <c r="N32" s="7">
        <f>IF(D32="","",IF(L32&gt;=1.1,"Xuất sắc",IF(L32&gt;=1,"Đạt",IF(L32&gt;=0.8,"Cần cải thiện","Không đạt"))))</f>
        <v/>
      </c>
    </row>
    <row r="33">
      <c r="A33" s="2" t="n"/>
      <c r="B33" s="3" t="n"/>
      <c r="C33" s="3" t="n"/>
      <c r="D33" s="3" t="n"/>
      <c r="E33" s="3" t="n"/>
      <c r="F33" s="3" t="n"/>
      <c r="G33" s="3" t="n"/>
      <c r="H33" s="3" t="n"/>
      <c r="I33" s="4" t="n"/>
      <c r="J33" s="2" t="n"/>
      <c r="K33" s="2" t="n"/>
      <c r="L33" s="5">
        <f>IF(D33="","",MIN(1.2,IF(H33="Càng thấp càng tốt",IFERROR(J33/K33,1.2),IFERROR(K33/J33,0))))</f>
        <v/>
      </c>
      <c r="M33" s="6">
        <f>IF(D33="","",ROUND(L33*I33,4))</f>
        <v/>
      </c>
      <c r="N33" s="7">
        <f>IF(D33="","",IF(L33&gt;=1.1,"Xuất sắc",IF(L33&gt;=1,"Đạt",IF(L33&gt;=0.8,"Cần cải thiện","Không đạt"))))</f>
        <v/>
      </c>
    </row>
    <row r="34">
      <c r="A34" s="2" t="n"/>
      <c r="B34" s="3" t="n"/>
      <c r="C34" s="3" t="n"/>
      <c r="D34" s="3" t="n"/>
      <c r="E34" s="3" t="n"/>
      <c r="F34" s="3" t="n"/>
      <c r="G34" s="3" t="n"/>
      <c r="H34" s="3" t="n"/>
      <c r="I34" s="4" t="n"/>
      <c r="J34" s="2" t="n"/>
      <c r="K34" s="2" t="n"/>
      <c r="L34" s="5">
        <f>IF(D34="","",MIN(1.2,IF(H34="Càng thấp càng tốt",IFERROR(J34/K34,1.2),IFERROR(K34/J34,0))))</f>
        <v/>
      </c>
      <c r="M34" s="6">
        <f>IF(D34="","",ROUND(L34*I34,4))</f>
        <v/>
      </c>
      <c r="N34" s="7">
        <f>IF(D34="","",IF(L34&gt;=1.1,"Xuất sắc",IF(L34&gt;=1,"Đạt",IF(L34&gt;=0.8,"Cần cải thiện","Không đạt"))))</f>
        <v/>
      </c>
    </row>
    <row r="35">
      <c r="A35" s="2" t="n"/>
      <c r="B35" s="3" t="n"/>
      <c r="C35" s="3" t="n"/>
      <c r="D35" s="3" t="n"/>
      <c r="E35" s="3" t="n"/>
      <c r="F35" s="3" t="n"/>
      <c r="G35" s="3" t="n"/>
      <c r="H35" s="3" t="n"/>
      <c r="I35" s="4" t="n"/>
      <c r="J35" s="2" t="n"/>
      <c r="K35" s="2" t="n"/>
      <c r="L35" s="5">
        <f>IF(D35="","",MIN(1.2,IF(H35="Càng thấp càng tốt",IFERROR(J35/K35,1.2),IFERROR(K35/J35,0))))</f>
        <v/>
      </c>
      <c r="M35" s="6">
        <f>IF(D35="","",ROUND(L35*I35,4))</f>
        <v/>
      </c>
      <c r="N35" s="7">
        <f>IF(D35="","",IF(L35&gt;=1.1,"Xuất sắc",IF(L35&gt;=1,"Đạt",IF(L35&gt;=0.8,"Cần cải thiện","Không đạt"))))</f>
        <v/>
      </c>
    </row>
    <row r="36">
      <c r="A36" s="2" t="n"/>
      <c r="B36" s="3" t="n"/>
      <c r="C36" s="3" t="n"/>
      <c r="D36" s="3" t="n"/>
      <c r="E36" s="3" t="n"/>
      <c r="F36" s="3" t="n"/>
      <c r="G36" s="3" t="n"/>
      <c r="H36" s="3" t="n"/>
      <c r="I36" s="4" t="n"/>
      <c r="J36" s="2" t="n"/>
      <c r="K36" s="2" t="n"/>
      <c r="L36" s="5">
        <f>IF(D36="","",MIN(1.2,IF(H36="Càng thấp càng tốt",IFERROR(J36/K36,1.2),IFERROR(K36/J36,0))))</f>
        <v/>
      </c>
      <c r="M36" s="6">
        <f>IF(D36="","",ROUND(L36*I36,4))</f>
        <v/>
      </c>
      <c r="N36" s="7">
        <f>IF(D36="","",IF(L36&gt;=1.1,"Xuất sắc",IF(L36&gt;=1,"Đạt",IF(L36&gt;=0.8,"Cần cải thiện","Không đạt"))))</f>
        <v/>
      </c>
    </row>
    <row r="37">
      <c r="A37" s="2" t="n"/>
      <c r="B37" s="3" t="n"/>
      <c r="C37" s="3" t="n"/>
      <c r="D37" s="3" t="n"/>
      <c r="E37" s="3" t="n"/>
      <c r="F37" s="3" t="n"/>
      <c r="G37" s="3" t="n"/>
      <c r="H37" s="3" t="n"/>
      <c r="I37" s="4" t="n"/>
      <c r="J37" s="2" t="n"/>
      <c r="K37" s="2" t="n"/>
      <c r="L37" s="5">
        <f>IF(D37="","",MIN(1.2,IF(H37="Càng thấp càng tốt",IFERROR(J37/K37,1.2),IFERROR(K37/J37,0))))</f>
        <v/>
      </c>
      <c r="M37" s="6">
        <f>IF(D37="","",ROUND(L37*I37,4))</f>
        <v/>
      </c>
      <c r="N37" s="7">
        <f>IF(D37="","",IF(L37&gt;=1.1,"Xuất sắc",IF(L37&gt;=1,"Đạt",IF(L37&gt;=0.8,"Cần cải thiện","Không đạt"))))</f>
        <v/>
      </c>
    </row>
    <row r="38">
      <c r="A38" s="2" t="n"/>
      <c r="B38" s="3" t="n"/>
      <c r="C38" s="3" t="n"/>
      <c r="D38" s="3" t="n"/>
      <c r="E38" s="3" t="n"/>
      <c r="F38" s="3" t="n"/>
      <c r="G38" s="3" t="n"/>
      <c r="H38" s="3" t="n"/>
      <c r="I38" s="4" t="n"/>
      <c r="J38" s="2" t="n"/>
      <c r="K38" s="2" t="n"/>
      <c r="L38" s="5">
        <f>IF(D38="","",MIN(1.2,IF(H38="Càng thấp càng tốt",IFERROR(J38/K38,1.2),IFERROR(K38/J38,0))))</f>
        <v/>
      </c>
      <c r="M38" s="6">
        <f>IF(D38="","",ROUND(L38*I38,4))</f>
        <v/>
      </c>
      <c r="N38" s="7">
        <f>IF(D38="","",IF(L38&gt;=1.1,"Xuất sắc",IF(L38&gt;=1,"Đạt",IF(L38&gt;=0.8,"Cần cải thiện","Không đạt"))))</f>
        <v/>
      </c>
    </row>
  </sheetData>
  <autoFilter ref="A1:N38"/>
  <dataValidations count="3">
    <dataValidation sqref="E2:E38" showDropDown="0" showInputMessage="0" showErrorMessage="0" allowBlank="1" errorTitle="Sai định dạng" error="Giá trị không hợp lệ cho cột này." type="list">
      <formula1>"Kinh doanh,Kế toán,Nhân sự,Kỹ thuật,Kho vận"</formula1>
    </dataValidation>
    <dataValidation sqref="H2:H38" showDropDown="0" showInputMessage="0" showErrorMessage="0" allowBlank="1" errorTitle="Sai định dạng" error="Giá trị không hợp lệ cho cột này." type="list">
      <formula1>"Càng cao càng tốt,Càng thấp càng tốt"</formula1>
    </dataValidation>
    <dataValidation sqref="I2:I38" showDropDown="0" showInputMessage="0" showErrorMessage="0" allowBlank="1" errorTitle="Sai định dạng" error="Giá trị không hợp lệ cho cột này." type="decimal" operator="between">
      <formula1>0</formula1>
      <formula2>1</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00" customWidth="1" min="2" max="2"/>
  </cols>
  <sheetData>
    <row r="1">
      <c r="B1" s="8" t="inlineStr">
        <is>
          <t>Mẫu Excel đánh giá KPI nhân viên, chấm được cả chỉ tiêu càng thấp càng tốt</t>
        </is>
      </c>
    </row>
    <row r="2">
      <c r="B2" s="9" t="inlineStr"/>
    </row>
    <row r="3">
      <c r="B3" s="10" t="inlineStr">
        <is>
          <t>CÁCH DÙNG</t>
        </is>
      </c>
    </row>
    <row r="4">
      <c r="B4" s="11" t="inlineStr">
        <is>
          <t>1. Ghi một dòng cho mỗi chỉ tiêu của mỗi người</t>
        </is>
      </c>
    </row>
    <row r="5">
      <c r="B5" s="9" t="inlineStr">
        <is>
          <t xml:space="preserve">   Một nhân viên có 5 chỉ tiêu thì ghi 5 dòng cùng mã nhân viên. Cách này khiến bảng dài nhưng lọc theo mã là ra ngay bộ chỉ tiêu của một người, và thêm chỉ tiêu mới chỉ là thêm một dòng chứ không phải chèn cột rồi sửa lại mọi công thức.</t>
        </is>
      </c>
    </row>
    <row r="6">
      <c r="B6" s="11" t="inlineStr">
        <is>
          <t>2. Đặt trọng số sao cho tổng của mỗi người bằng 100%</t>
        </is>
      </c>
    </row>
    <row r="7">
      <c r="B7" s="9" t="inlineStr">
        <is>
          <t xml:space="preserve">   Dùng SUMIF cột Trọng số theo Mã NV để kiểm, kết quả phải ra đúng 1. Tổng vượt 100% thì điểm cuối bị thổi lên, tổng thiếu thì người đó bị chấm thấp một cách oan. Đây là lỗi phổ biến nhất khi có người thêm chỉ tiêu giữa kỳ mà quên chia lại trọng số.</t>
        </is>
      </c>
    </row>
    <row r="8">
      <c r="B8" s="11" t="inlineStr">
        <is>
          <t>3. Chọn chiều chỉ tiêu trước khi nhập số</t>
        </is>
      </c>
    </row>
    <row r="9">
      <c r="B9" s="9" t="inlineStr">
        <is>
          <t xml:space="preserve">   Doanh thu, số hợp đồng, số khách mới thì chọn càng cao càng tốt. Tỷ lệ lỗi, số ngày trễ hạn, tỷ lệ khách rời đi thì chọn càng thấp càng tốt. Chọn sai chiều là con số vẫn ra, vẫn đẹp, nhưng ý nghĩa ngược hoàn toàn, và đây là lỗi khó phát hiện nhất trong mọi bảng KPI.</t>
        </is>
      </c>
    </row>
    <row r="10">
      <c r="B10" s="11" t="inlineStr">
        <is>
          <t>4. Nhập mục tiêu và thực hiện cùng một đơn vị</t>
        </is>
      </c>
    </row>
    <row r="11">
      <c r="B11" s="9" t="inlineStr">
        <is>
          <t xml:space="preserve">   Mục tiêu doanh thu ghi triệu đồng thì thực hiện cũng ghi triệu đồng. Cột tỷ lệ hoàn thành là một phép chia nên đơn vị tự triệt tiêu, nhưng lệch đơn vị giữa hai cột thì tỷ lệ sai gấp cả nghìn lần mà không có cột nào báo lỗi.</t>
        </is>
      </c>
    </row>
    <row r="12">
      <c r="B12" s="11" t="inlineStr">
        <is>
          <t>5. Cộng điểm theo mã nhân viên để ra điểm tổng</t>
        </is>
      </c>
    </row>
    <row r="13">
      <c r="B13" s="9" t="inlineStr">
        <is>
          <t xml:space="preserve">   SUMIF cột Điểm có trọng số theo Mã NV cho ra điểm tổng của từng người, thang 0 đến 1,2. Từ đó ánh xạ sang hệ số thưởng để chuyển sang bảng thưởng tháng 13, nhờ vậy hệ số thưởng có đường truy về từng chỉ tiêu cụ thể.</t>
        </is>
      </c>
    </row>
    <row r="14">
      <c r="B14" s="9" t="inlineStr"/>
    </row>
    <row r="15">
      <c r="B15" s="10" t="inlineStr">
        <is>
          <t>CÔNG THỨC TRONG FILE</t>
        </is>
      </c>
    </row>
    <row r="16">
      <c r="B16" s="11" t="inlineStr">
        <is>
          <t>Tỷ lệ hoàn thành  —  =IF(D2="","",MIN(1.2,IF(H2="Càng thấp càng tốt",IFERROR(J2/K2,1.2),IFERROR(K2/J2,0))))</t>
        </is>
      </c>
    </row>
    <row r="17">
      <c r="B17" s="9" t="inlineStr">
        <is>
          <t xml:space="preserve">   Hàm IF đảo tử số và mẫu số theo chiều chỉ tiêu: càng thấp càng tốt thì lấy mục tiêu chia thực hiện, còn lại lấy thực hiện chia mục tiêu. MIN chặn ở 120% để một chỉ tiêu vượt xa không gánh cho cả bảng. Hai hàm IFERROR xử lý mẫu số 0 theo hai hướng ngược nhau: không có lỗi nào là kết quả tốt nhất nên cho 120%, còn chưa đặt mục tiêu thì cho 0.</t>
        </is>
      </c>
    </row>
    <row r="18">
      <c r="B18" s="11" t="inlineStr">
        <is>
          <t>Điểm có trọng số  —  =IF(D2="","",ROUND(L2*I2,4))</t>
        </is>
      </c>
    </row>
    <row r="19">
      <c r="B19" s="9" t="inlineStr">
        <is>
          <t xml:space="preserve">   Tỷ lệ hoàn thành nhân trọng số của chỉ tiêu. Cộng cột này theo mã nhân viên bằng SUMIF là ra điểm tổng thang 0 đến 1,2. Điểm tổng chỉ đúng khi trọng số của người đó cộng lại bằng 100%.</t>
        </is>
      </c>
    </row>
    <row r="20">
      <c r="B20" s="11" t="inlineStr">
        <is>
          <t>Xếp loại chỉ tiêu  —  =IF(D2="","",IF(L2&gt;=1.1,"Xuất sắc",IF(L2&gt;=1,"Đạt",IF(L2&gt;=0.8,"Cần cải thiện","Không đạt"))))</t>
        </is>
      </c>
    </row>
    <row r="21">
      <c r="B21" s="9" t="inlineStr">
        <is>
          <t xml:space="preserve">   Xếp loại của riêng từng chỉ tiêu, không phải của cả người. Đọc theo dòng để thấy ngay chỗ nào kéo điểm xuống, vì một người điểm tổng 0,9 có thể do đều đều thiếu một chút hoặc do một chỉ tiêu sụp hẳn, và hai trường hợp đó cần hai cách xử lý khác nhau.</t>
        </is>
      </c>
    </row>
    <row r="22">
      <c r="B22" s="9" t="inlineStr"/>
    </row>
    <row r="23">
      <c r="B23" s="11" t="inlineStr">
        <is>
          <t>Bản cập nhật mới nhất và hướng dẫn chi tiết:</t>
        </is>
      </c>
    </row>
    <row r="24">
      <c r="B24" s="12" t="inlineStr">
        <is>
          <t>https://excel.nguyenvietloc.com/mau-excel/nhan-su/bang-danh-gia-kpi-nhan-vien</t>
        </is>
      </c>
    </row>
  </sheetData>
  <hyperlinks>
    <hyperlink xmlns:r="http://schemas.openxmlformats.org/officeDocument/2006/relationships" ref="B2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2026-08-14T13:55:47Z</dcterms:created>
  <dcterms:modified xsi:type="dcterms:W3CDTF">2026-08-14T13:55:47Z</dcterms:modified>
</cp:coreProperties>
</file>