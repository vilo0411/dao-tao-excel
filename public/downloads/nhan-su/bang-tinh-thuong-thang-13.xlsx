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ưởng tháng 13" sheetId="1" state="visible" r:id="rId1"/>
    <sheet name="Hướng dẫn" sheetId="2" state="visible" r:id="rId2"/>
  </sheets>
  <definedNames>
    <definedName name="_xlnm._FilterDatabase" localSheetId="0" hidden="1">'Thưởng tháng 13'!$A$1:$Q$31</definedName>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dd/mm/yyyy"/>
    <numFmt numFmtId="167" formatCode="#,##0 &quot;₫&quot;"/>
    <numFmt numFmtId="168"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8" fontId="0" fillId="3" borderId="1" pivotButton="0" quotePrefix="0" xfId="0"/>
    <xf numFmtId="167"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inh-thuong-thang-13" TargetMode="External" Id="rId1" /></Relationships>
</file>

<file path=xl/worksheets/sheet1.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6" customWidth="1" min="4" max="4"/>
    <col width="14" customWidth="1" min="5" max="5"/>
    <col width="17" customWidth="1" min="6" max="6"/>
    <col width="17" customWidth="1" min="7" max="7"/>
    <col width="15" customWidth="1" min="8" max="8"/>
    <col width="19" customWidth="1" min="9" max="9"/>
    <col width="18" customWidth="1" min="10" max="10"/>
    <col width="15" customWidth="1" min="11" max="11"/>
    <col width="17" customWidth="1" min="12" max="12"/>
    <col width="19" customWidth="1" min="13" max="13"/>
    <col width="17" customWidth="1" min="14" max="14"/>
    <col width="18" customWidth="1" min="15" max="15"/>
    <col width="15" customWidth="1" min="16" max="16"/>
    <col width="20" customWidth="1" min="17" max="17"/>
  </cols>
  <sheetData>
    <row r="1" ht="32" customHeight="1">
      <c r="A1" s="1" t="inlineStr">
        <is>
          <t>STT</t>
        </is>
      </c>
      <c r="B1" s="1" t="inlineStr">
        <is>
          <t>Mã NV</t>
        </is>
      </c>
      <c r="C1" s="1" t="inlineStr">
        <is>
          <t>Họ và tên</t>
        </is>
      </c>
      <c r="D1" s="1" t="inlineStr">
        <is>
          <t>Bộ phận</t>
        </is>
      </c>
      <c r="E1" s="1" t="inlineStr">
        <is>
          <t>Ngày vào làm</t>
        </is>
      </c>
      <c r="F1" s="1" t="inlineStr">
        <is>
          <t>Lương bình quân</t>
        </is>
      </c>
      <c r="G1" s="1" t="inlineStr">
        <is>
          <t>Số tháng làm việc</t>
        </is>
      </c>
      <c r="H1" s="1" t="inlineStr">
        <is>
          <t>Hệ số đánh giá</t>
        </is>
      </c>
      <c r="I1" s="1" t="inlineStr">
        <is>
          <t>Lương tháng chi trả</t>
        </is>
      </c>
      <c r="J1" s="1" t="inlineStr">
        <is>
          <t>Số người phụ thuộc</t>
        </is>
      </c>
      <c r="K1" s="1" t="inlineStr">
        <is>
          <t>Tỷ lệ thời gian</t>
        </is>
      </c>
      <c r="L1" s="1" t="inlineStr">
        <is>
          <t>Thưởng trước thuế</t>
        </is>
      </c>
      <c r="M1" s="1" t="inlineStr">
        <is>
          <t>Tổng thu nhập tháng</t>
        </is>
      </c>
      <c r="N1" s="1" t="inlineStr">
        <is>
          <t>Giảm trừ gia cảnh</t>
        </is>
      </c>
      <c r="O1" s="1" t="inlineStr">
        <is>
          <t>Thu nhập tính thuế</t>
        </is>
      </c>
      <c r="P1" s="1" t="inlineStr">
        <is>
          <t>Thuế TNCN</t>
        </is>
      </c>
      <c r="Q1" s="1" t="inlineStr">
        <is>
          <t>Thực nhận trong tháng</t>
        </is>
      </c>
    </row>
    <row r="2">
      <c r="A2" s="2" t="n">
        <v>1</v>
      </c>
      <c r="B2" s="3" t="inlineStr">
        <is>
          <t>NV001</t>
        </is>
      </c>
      <c r="C2" s="3" t="inlineStr">
        <is>
          <t>Nguyễn Thị Mai</t>
        </is>
      </c>
      <c r="D2" s="3" t="inlineStr">
        <is>
          <t>Kinh doanh</t>
        </is>
      </c>
      <c r="E2" s="4" t="n">
        <v>44621</v>
      </c>
      <c r="F2" s="5" t="n">
        <v>18000000</v>
      </c>
      <c r="G2" s="2" t="n">
        <v>12</v>
      </c>
      <c r="H2" s="2" t="n">
        <v>1.2</v>
      </c>
      <c r="I2" s="5" t="n">
        <v>16100000</v>
      </c>
      <c r="J2" s="2" t="n">
        <v>1</v>
      </c>
      <c r="K2" s="6">
        <f>IF(C2="","",G2/12)</f>
        <v/>
      </c>
      <c r="L2" s="7">
        <f>IF(C2="","",ROUND(F2*K2*H2,0))</f>
        <v/>
      </c>
      <c r="M2" s="7">
        <f>IF(C2="","",I2+L2)</f>
        <v/>
      </c>
      <c r="N2" s="7">
        <f>IF(C2="","",15500000+J2*6200000)</f>
        <v/>
      </c>
      <c r="O2" s="7">
        <f>IF(C2="","",MAX(0,M2-N2))</f>
        <v/>
      </c>
      <c r="P2" s="7">
        <f>IF(C2="","",IF(O2&lt;=10000000,O2*5%,IF(O2&lt;=30000000,O2*10%-500000,IF(O2&lt;=60000000,O2*20%-3500000,IF(O2&lt;=100000000,O2*30%-9500000,O2*35%-14500000)))))</f>
        <v/>
      </c>
      <c r="Q2" s="7">
        <f>IF(C2="","",M2-P2)</f>
        <v/>
      </c>
    </row>
    <row r="3">
      <c r="A3" s="2" t="n">
        <v>2</v>
      </c>
      <c r="B3" s="3" t="inlineStr">
        <is>
          <t>NV002</t>
        </is>
      </c>
      <c r="C3" s="3" t="inlineStr">
        <is>
          <t>Trần Văn Hùng</t>
        </is>
      </c>
      <c r="D3" s="3" t="inlineStr">
        <is>
          <t>Kỹ thuật</t>
        </is>
      </c>
      <c r="E3" s="4" t="n">
        <v>45460</v>
      </c>
      <c r="F3" s="5" t="n">
        <v>15000000</v>
      </c>
      <c r="G3" s="2" t="n">
        <v>12</v>
      </c>
      <c r="H3" s="2" t="n">
        <v>1</v>
      </c>
      <c r="I3" s="5" t="n">
        <v>13400000</v>
      </c>
      <c r="J3" s="2" t="n">
        <v>2</v>
      </c>
      <c r="K3" s="6">
        <f>IF(C3="","",G3/12)</f>
        <v/>
      </c>
      <c r="L3" s="7">
        <f>IF(C3="","",ROUND(F3*K3*H3,0))</f>
        <v/>
      </c>
      <c r="M3" s="7">
        <f>IF(C3="","",I3+L3)</f>
        <v/>
      </c>
      <c r="N3" s="7">
        <f>IF(C3="","",15500000+J3*6200000)</f>
        <v/>
      </c>
      <c r="O3" s="7">
        <f>IF(C3="","",MAX(0,M3-N3))</f>
        <v/>
      </c>
      <c r="P3" s="7">
        <f>IF(C3="","",IF(O3&lt;=10000000,O3*5%,IF(O3&lt;=30000000,O3*10%-500000,IF(O3&lt;=60000000,O3*20%-3500000,IF(O3&lt;=100000000,O3*30%-9500000,O3*35%-14500000)))))</f>
        <v/>
      </c>
      <c r="Q3" s="7">
        <f>IF(C3="","",M3-P3)</f>
        <v/>
      </c>
    </row>
    <row r="4">
      <c r="A4" s="2" t="n">
        <v>3</v>
      </c>
      <c r="B4" s="3" t="inlineStr">
        <is>
          <t>NV003</t>
        </is>
      </c>
      <c r="C4" s="3" t="inlineStr">
        <is>
          <t>Lê Thu Hà</t>
        </is>
      </c>
      <c r="D4" s="3" t="inlineStr">
        <is>
          <t>Kế toán</t>
        </is>
      </c>
      <c r="E4" s="4" t="n">
        <v>46118</v>
      </c>
      <c r="F4" s="5" t="n">
        <v>14000000</v>
      </c>
      <c r="G4" s="2" t="n">
        <v>9</v>
      </c>
      <c r="H4" s="2" t="n">
        <v>1</v>
      </c>
      <c r="I4" s="5" t="n">
        <v>12500000</v>
      </c>
      <c r="J4" s="2" t="n">
        <v>0</v>
      </c>
      <c r="K4" s="6">
        <f>IF(C4="","",G4/12)</f>
        <v/>
      </c>
      <c r="L4" s="7">
        <f>IF(C4="","",ROUND(F4*K4*H4,0))</f>
        <v/>
      </c>
      <c r="M4" s="7">
        <f>IF(C4="","",I4+L4)</f>
        <v/>
      </c>
      <c r="N4" s="7">
        <f>IF(C4="","",15500000+J4*6200000)</f>
        <v/>
      </c>
      <c r="O4" s="7">
        <f>IF(C4="","",MAX(0,M4-N4))</f>
        <v/>
      </c>
      <c r="P4" s="7">
        <f>IF(C4="","",IF(O4&lt;=10000000,O4*5%,IF(O4&lt;=30000000,O4*10%-500000,IF(O4&lt;=60000000,O4*20%-3500000,IF(O4&lt;=100000000,O4*30%-9500000,O4*35%-14500000)))))</f>
        <v/>
      </c>
      <c r="Q4" s="7">
        <f>IF(C4="","",M4-P4)</f>
        <v/>
      </c>
    </row>
    <row r="5">
      <c r="A5" s="2" t="n">
        <v>4</v>
      </c>
      <c r="B5" s="3" t="inlineStr">
        <is>
          <t>NV004</t>
        </is>
      </c>
      <c r="C5" s="3" t="inlineStr">
        <is>
          <t>Phạm Minh Đức</t>
        </is>
      </c>
      <c r="D5" s="3" t="inlineStr">
        <is>
          <t>Kho vận</t>
        </is>
      </c>
      <c r="E5" s="4" t="n">
        <v>46280</v>
      </c>
      <c r="F5" s="5" t="n">
        <v>11000000</v>
      </c>
      <c r="G5" s="2" t="n">
        <v>3.5</v>
      </c>
      <c r="H5" s="2" t="n">
        <v>0.8</v>
      </c>
      <c r="I5" s="5" t="n">
        <v>9800000</v>
      </c>
      <c r="J5" s="2" t="n">
        <v>0</v>
      </c>
      <c r="K5" s="6">
        <f>IF(C5="","",G5/12)</f>
        <v/>
      </c>
      <c r="L5" s="7">
        <f>IF(C5="","",ROUND(F5*K5*H5,0))</f>
        <v/>
      </c>
      <c r="M5" s="7">
        <f>IF(C5="","",I5+L5)</f>
        <v/>
      </c>
      <c r="N5" s="7">
        <f>IF(C5="","",15500000+J5*6200000)</f>
        <v/>
      </c>
      <c r="O5" s="7">
        <f>IF(C5="","",MAX(0,M5-N5))</f>
        <v/>
      </c>
      <c r="P5" s="7">
        <f>IF(C5="","",IF(O5&lt;=10000000,O5*5%,IF(O5&lt;=30000000,O5*10%-500000,IF(O5&lt;=60000000,O5*20%-3500000,IF(O5&lt;=100000000,O5*30%-9500000,O5*35%-14500000)))))</f>
        <v/>
      </c>
      <c r="Q5" s="7">
        <f>IF(C5="","",M5-P5)</f>
        <v/>
      </c>
    </row>
    <row r="6">
      <c r="A6" s="2" t="n">
        <v>5</v>
      </c>
      <c r="B6" s="3" t="inlineStr">
        <is>
          <t>NV006</t>
        </is>
      </c>
      <c r="C6" s="3" t="inlineStr">
        <is>
          <t>Vũ Quốc Thắng</t>
        </is>
      </c>
      <c r="D6" s="3" t="inlineStr">
        <is>
          <t>Kinh doanh</t>
        </is>
      </c>
      <c r="E6" s="4" t="n">
        <v>43832</v>
      </c>
      <c r="F6" s="5" t="n">
        <v>60000000</v>
      </c>
      <c r="G6" s="2" t="n">
        <v>12</v>
      </c>
      <c r="H6" s="2" t="n">
        <v>1.5</v>
      </c>
      <c r="I6" s="5" t="n">
        <v>54900000</v>
      </c>
      <c r="J6" s="2" t="n">
        <v>2</v>
      </c>
      <c r="K6" s="6">
        <f>IF(C6="","",G6/12)</f>
        <v/>
      </c>
      <c r="L6" s="7">
        <f>IF(C6="","",ROUND(F6*K6*H6,0))</f>
        <v/>
      </c>
      <c r="M6" s="7">
        <f>IF(C6="","",I6+L6)</f>
        <v/>
      </c>
      <c r="N6" s="7">
        <f>IF(C6="","",15500000+J6*6200000)</f>
        <v/>
      </c>
      <c r="O6" s="7">
        <f>IF(C6="","",MAX(0,M6-N6))</f>
        <v/>
      </c>
      <c r="P6" s="7">
        <f>IF(C6="","",IF(O6&lt;=10000000,O6*5%,IF(O6&lt;=30000000,O6*10%-500000,IF(O6&lt;=60000000,O6*20%-3500000,IF(O6&lt;=100000000,O6*30%-9500000,O6*35%-14500000)))))</f>
        <v/>
      </c>
      <c r="Q6" s="7">
        <f>IF(C6="","",M6-P6)</f>
        <v/>
      </c>
    </row>
    <row r="7">
      <c r="A7" s="2" t="n"/>
      <c r="B7" s="3" t="n"/>
      <c r="C7" s="3" t="n"/>
      <c r="D7" s="3" t="n"/>
      <c r="E7" s="4" t="n"/>
      <c r="F7" s="5" t="n"/>
      <c r="G7" s="2" t="n"/>
      <c r="H7" s="2" t="n"/>
      <c r="I7" s="5" t="n"/>
      <c r="J7" s="2" t="n"/>
      <c r="K7" s="6">
        <f>IF(C7="","",G7/12)</f>
        <v/>
      </c>
      <c r="L7" s="7">
        <f>IF(C7="","",ROUND(F7*K7*H7,0))</f>
        <v/>
      </c>
      <c r="M7" s="7">
        <f>IF(C7="","",I7+L7)</f>
        <v/>
      </c>
      <c r="N7" s="7">
        <f>IF(C7="","",15500000+J7*6200000)</f>
        <v/>
      </c>
      <c r="O7" s="7">
        <f>IF(C7="","",MAX(0,M7-N7))</f>
        <v/>
      </c>
      <c r="P7" s="7">
        <f>IF(C7="","",IF(O7&lt;=10000000,O7*5%,IF(O7&lt;=30000000,O7*10%-500000,IF(O7&lt;=60000000,O7*20%-3500000,IF(O7&lt;=100000000,O7*30%-9500000,O7*35%-14500000)))))</f>
        <v/>
      </c>
      <c r="Q7" s="7">
        <f>IF(C7="","",M7-P7)</f>
        <v/>
      </c>
    </row>
    <row r="8">
      <c r="A8" s="2" t="n"/>
      <c r="B8" s="3" t="n"/>
      <c r="C8" s="3" t="n"/>
      <c r="D8" s="3" t="n"/>
      <c r="E8" s="4" t="n"/>
      <c r="F8" s="5" t="n"/>
      <c r="G8" s="2" t="n"/>
      <c r="H8" s="2" t="n"/>
      <c r="I8" s="5" t="n"/>
      <c r="J8" s="2" t="n"/>
      <c r="K8" s="6">
        <f>IF(C8="","",G8/12)</f>
        <v/>
      </c>
      <c r="L8" s="7">
        <f>IF(C8="","",ROUND(F8*K8*H8,0))</f>
        <v/>
      </c>
      <c r="M8" s="7">
        <f>IF(C8="","",I8+L8)</f>
        <v/>
      </c>
      <c r="N8" s="7">
        <f>IF(C8="","",15500000+J8*6200000)</f>
        <v/>
      </c>
      <c r="O8" s="7">
        <f>IF(C8="","",MAX(0,M8-N8))</f>
        <v/>
      </c>
      <c r="P8" s="7">
        <f>IF(C8="","",IF(O8&lt;=10000000,O8*5%,IF(O8&lt;=30000000,O8*10%-500000,IF(O8&lt;=60000000,O8*20%-3500000,IF(O8&lt;=100000000,O8*30%-9500000,O8*35%-14500000)))))</f>
        <v/>
      </c>
      <c r="Q8" s="7">
        <f>IF(C8="","",M8-P8)</f>
        <v/>
      </c>
    </row>
    <row r="9">
      <c r="A9" s="2" t="n"/>
      <c r="B9" s="3" t="n"/>
      <c r="C9" s="3" t="n"/>
      <c r="D9" s="3" t="n"/>
      <c r="E9" s="4" t="n"/>
      <c r="F9" s="5" t="n"/>
      <c r="G9" s="2" t="n"/>
      <c r="H9" s="2" t="n"/>
      <c r="I9" s="5" t="n"/>
      <c r="J9" s="2" t="n"/>
      <c r="K9" s="6">
        <f>IF(C9="","",G9/12)</f>
        <v/>
      </c>
      <c r="L9" s="7">
        <f>IF(C9="","",ROUND(F9*K9*H9,0))</f>
        <v/>
      </c>
      <c r="M9" s="7">
        <f>IF(C9="","",I9+L9)</f>
        <v/>
      </c>
      <c r="N9" s="7">
        <f>IF(C9="","",15500000+J9*6200000)</f>
        <v/>
      </c>
      <c r="O9" s="7">
        <f>IF(C9="","",MAX(0,M9-N9))</f>
        <v/>
      </c>
      <c r="P9" s="7">
        <f>IF(C9="","",IF(O9&lt;=10000000,O9*5%,IF(O9&lt;=30000000,O9*10%-500000,IF(O9&lt;=60000000,O9*20%-3500000,IF(O9&lt;=100000000,O9*30%-9500000,O9*35%-14500000)))))</f>
        <v/>
      </c>
      <c r="Q9" s="7">
        <f>IF(C9="","",M9-P9)</f>
        <v/>
      </c>
    </row>
    <row r="10">
      <c r="A10" s="2" t="n"/>
      <c r="B10" s="3" t="n"/>
      <c r="C10" s="3" t="n"/>
      <c r="D10" s="3" t="n"/>
      <c r="E10" s="4" t="n"/>
      <c r="F10" s="5" t="n"/>
      <c r="G10" s="2" t="n"/>
      <c r="H10" s="2" t="n"/>
      <c r="I10" s="5" t="n"/>
      <c r="J10" s="2" t="n"/>
      <c r="K10" s="6">
        <f>IF(C10="","",G10/12)</f>
        <v/>
      </c>
      <c r="L10" s="7">
        <f>IF(C10="","",ROUND(F10*K10*H10,0))</f>
        <v/>
      </c>
      <c r="M10" s="7">
        <f>IF(C10="","",I10+L10)</f>
        <v/>
      </c>
      <c r="N10" s="7">
        <f>IF(C10="","",15500000+J10*6200000)</f>
        <v/>
      </c>
      <c r="O10" s="7">
        <f>IF(C10="","",MAX(0,M10-N10))</f>
        <v/>
      </c>
      <c r="P10" s="7">
        <f>IF(C10="","",IF(O10&lt;=10000000,O10*5%,IF(O10&lt;=30000000,O10*10%-500000,IF(O10&lt;=60000000,O10*20%-3500000,IF(O10&lt;=100000000,O10*30%-9500000,O10*35%-14500000)))))</f>
        <v/>
      </c>
      <c r="Q10" s="7">
        <f>IF(C10="","",M10-P10)</f>
        <v/>
      </c>
    </row>
    <row r="11">
      <c r="A11" s="2" t="n"/>
      <c r="B11" s="3" t="n"/>
      <c r="C11" s="3" t="n"/>
      <c r="D11" s="3" t="n"/>
      <c r="E11" s="4" t="n"/>
      <c r="F11" s="5" t="n"/>
      <c r="G11" s="2" t="n"/>
      <c r="H11" s="2" t="n"/>
      <c r="I11" s="5" t="n"/>
      <c r="J11" s="2" t="n"/>
      <c r="K11" s="6">
        <f>IF(C11="","",G11/12)</f>
        <v/>
      </c>
      <c r="L11" s="7">
        <f>IF(C11="","",ROUND(F11*K11*H11,0))</f>
        <v/>
      </c>
      <c r="M11" s="7">
        <f>IF(C11="","",I11+L11)</f>
        <v/>
      </c>
      <c r="N11" s="7">
        <f>IF(C11="","",15500000+J11*6200000)</f>
        <v/>
      </c>
      <c r="O11" s="7">
        <f>IF(C11="","",MAX(0,M11-N11))</f>
        <v/>
      </c>
      <c r="P11" s="7">
        <f>IF(C11="","",IF(O11&lt;=10000000,O11*5%,IF(O11&lt;=30000000,O11*10%-500000,IF(O11&lt;=60000000,O11*20%-3500000,IF(O11&lt;=100000000,O11*30%-9500000,O11*35%-14500000)))))</f>
        <v/>
      </c>
      <c r="Q11" s="7">
        <f>IF(C11="","",M11-P11)</f>
        <v/>
      </c>
    </row>
    <row r="12">
      <c r="A12" s="2" t="n"/>
      <c r="B12" s="3" t="n"/>
      <c r="C12" s="3" t="n"/>
      <c r="D12" s="3" t="n"/>
      <c r="E12" s="4" t="n"/>
      <c r="F12" s="5" t="n"/>
      <c r="G12" s="2" t="n"/>
      <c r="H12" s="2" t="n"/>
      <c r="I12" s="5" t="n"/>
      <c r="J12" s="2" t="n"/>
      <c r="K12" s="6">
        <f>IF(C12="","",G12/12)</f>
        <v/>
      </c>
      <c r="L12" s="7">
        <f>IF(C12="","",ROUND(F12*K12*H12,0))</f>
        <v/>
      </c>
      <c r="M12" s="7">
        <f>IF(C12="","",I12+L12)</f>
        <v/>
      </c>
      <c r="N12" s="7">
        <f>IF(C12="","",15500000+J12*6200000)</f>
        <v/>
      </c>
      <c r="O12" s="7">
        <f>IF(C12="","",MAX(0,M12-N12))</f>
        <v/>
      </c>
      <c r="P12" s="7">
        <f>IF(C12="","",IF(O12&lt;=10000000,O12*5%,IF(O12&lt;=30000000,O12*10%-500000,IF(O12&lt;=60000000,O12*20%-3500000,IF(O12&lt;=100000000,O12*30%-9500000,O12*35%-14500000)))))</f>
        <v/>
      </c>
      <c r="Q12" s="7">
        <f>IF(C12="","",M12-P12)</f>
        <v/>
      </c>
    </row>
    <row r="13">
      <c r="A13" s="2" t="n"/>
      <c r="B13" s="3" t="n"/>
      <c r="C13" s="3" t="n"/>
      <c r="D13" s="3" t="n"/>
      <c r="E13" s="4" t="n"/>
      <c r="F13" s="5" t="n"/>
      <c r="G13" s="2" t="n"/>
      <c r="H13" s="2" t="n"/>
      <c r="I13" s="5" t="n"/>
      <c r="J13" s="2" t="n"/>
      <c r="K13" s="6">
        <f>IF(C13="","",G13/12)</f>
        <v/>
      </c>
      <c r="L13" s="7">
        <f>IF(C13="","",ROUND(F13*K13*H13,0))</f>
        <v/>
      </c>
      <c r="M13" s="7">
        <f>IF(C13="","",I13+L13)</f>
        <v/>
      </c>
      <c r="N13" s="7">
        <f>IF(C13="","",15500000+J13*6200000)</f>
        <v/>
      </c>
      <c r="O13" s="7">
        <f>IF(C13="","",MAX(0,M13-N13))</f>
        <v/>
      </c>
      <c r="P13" s="7">
        <f>IF(C13="","",IF(O13&lt;=10000000,O13*5%,IF(O13&lt;=30000000,O13*10%-500000,IF(O13&lt;=60000000,O13*20%-3500000,IF(O13&lt;=100000000,O13*30%-9500000,O13*35%-14500000)))))</f>
        <v/>
      </c>
      <c r="Q13" s="7">
        <f>IF(C13="","",M13-P13)</f>
        <v/>
      </c>
    </row>
    <row r="14">
      <c r="A14" s="2" t="n"/>
      <c r="B14" s="3" t="n"/>
      <c r="C14" s="3" t="n"/>
      <c r="D14" s="3" t="n"/>
      <c r="E14" s="4" t="n"/>
      <c r="F14" s="5" t="n"/>
      <c r="G14" s="2" t="n"/>
      <c r="H14" s="2" t="n"/>
      <c r="I14" s="5" t="n"/>
      <c r="J14" s="2" t="n"/>
      <c r="K14" s="6">
        <f>IF(C14="","",G14/12)</f>
        <v/>
      </c>
      <c r="L14" s="7">
        <f>IF(C14="","",ROUND(F14*K14*H14,0))</f>
        <v/>
      </c>
      <c r="M14" s="7">
        <f>IF(C14="","",I14+L14)</f>
        <v/>
      </c>
      <c r="N14" s="7">
        <f>IF(C14="","",15500000+J14*6200000)</f>
        <v/>
      </c>
      <c r="O14" s="7">
        <f>IF(C14="","",MAX(0,M14-N14))</f>
        <v/>
      </c>
      <c r="P14" s="7">
        <f>IF(C14="","",IF(O14&lt;=10000000,O14*5%,IF(O14&lt;=30000000,O14*10%-500000,IF(O14&lt;=60000000,O14*20%-3500000,IF(O14&lt;=100000000,O14*30%-9500000,O14*35%-14500000)))))</f>
        <v/>
      </c>
      <c r="Q14" s="7">
        <f>IF(C14="","",M14-P14)</f>
        <v/>
      </c>
    </row>
    <row r="15">
      <c r="A15" s="2" t="n"/>
      <c r="B15" s="3" t="n"/>
      <c r="C15" s="3" t="n"/>
      <c r="D15" s="3" t="n"/>
      <c r="E15" s="4" t="n"/>
      <c r="F15" s="5" t="n"/>
      <c r="G15" s="2" t="n"/>
      <c r="H15" s="2" t="n"/>
      <c r="I15" s="5" t="n"/>
      <c r="J15" s="2" t="n"/>
      <c r="K15" s="6">
        <f>IF(C15="","",G15/12)</f>
        <v/>
      </c>
      <c r="L15" s="7">
        <f>IF(C15="","",ROUND(F15*K15*H15,0))</f>
        <v/>
      </c>
      <c r="M15" s="7">
        <f>IF(C15="","",I15+L15)</f>
        <v/>
      </c>
      <c r="N15" s="7">
        <f>IF(C15="","",15500000+J15*6200000)</f>
        <v/>
      </c>
      <c r="O15" s="7">
        <f>IF(C15="","",MAX(0,M15-N15))</f>
        <v/>
      </c>
      <c r="P15" s="7">
        <f>IF(C15="","",IF(O15&lt;=10000000,O15*5%,IF(O15&lt;=30000000,O15*10%-500000,IF(O15&lt;=60000000,O15*20%-3500000,IF(O15&lt;=100000000,O15*30%-9500000,O15*35%-14500000)))))</f>
        <v/>
      </c>
      <c r="Q15" s="7">
        <f>IF(C15="","",M15-P15)</f>
        <v/>
      </c>
    </row>
    <row r="16">
      <c r="A16" s="2" t="n"/>
      <c r="B16" s="3" t="n"/>
      <c r="C16" s="3" t="n"/>
      <c r="D16" s="3" t="n"/>
      <c r="E16" s="4" t="n"/>
      <c r="F16" s="5" t="n"/>
      <c r="G16" s="2" t="n"/>
      <c r="H16" s="2" t="n"/>
      <c r="I16" s="5" t="n"/>
      <c r="J16" s="2" t="n"/>
      <c r="K16" s="6">
        <f>IF(C16="","",G16/12)</f>
        <v/>
      </c>
      <c r="L16" s="7">
        <f>IF(C16="","",ROUND(F16*K16*H16,0))</f>
        <v/>
      </c>
      <c r="M16" s="7">
        <f>IF(C16="","",I16+L16)</f>
        <v/>
      </c>
      <c r="N16" s="7">
        <f>IF(C16="","",15500000+J16*6200000)</f>
        <v/>
      </c>
      <c r="O16" s="7">
        <f>IF(C16="","",MAX(0,M16-N16))</f>
        <v/>
      </c>
      <c r="P16" s="7">
        <f>IF(C16="","",IF(O16&lt;=10000000,O16*5%,IF(O16&lt;=30000000,O16*10%-500000,IF(O16&lt;=60000000,O16*20%-3500000,IF(O16&lt;=100000000,O16*30%-9500000,O16*35%-14500000)))))</f>
        <v/>
      </c>
      <c r="Q16" s="7">
        <f>IF(C16="","",M16-P16)</f>
        <v/>
      </c>
    </row>
    <row r="17">
      <c r="A17" s="2" t="n"/>
      <c r="B17" s="3" t="n"/>
      <c r="C17" s="3" t="n"/>
      <c r="D17" s="3" t="n"/>
      <c r="E17" s="4" t="n"/>
      <c r="F17" s="5" t="n"/>
      <c r="G17" s="2" t="n"/>
      <c r="H17" s="2" t="n"/>
      <c r="I17" s="5" t="n"/>
      <c r="J17" s="2" t="n"/>
      <c r="K17" s="6">
        <f>IF(C17="","",G17/12)</f>
        <v/>
      </c>
      <c r="L17" s="7">
        <f>IF(C17="","",ROUND(F17*K17*H17,0))</f>
        <v/>
      </c>
      <c r="M17" s="7">
        <f>IF(C17="","",I17+L17)</f>
        <v/>
      </c>
      <c r="N17" s="7">
        <f>IF(C17="","",15500000+J17*6200000)</f>
        <v/>
      </c>
      <c r="O17" s="7">
        <f>IF(C17="","",MAX(0,M17-N17))</f>
        <v/>
      </c>
      <c r="P17" s="7">
        <f>IF(C17="","",IF(O17&lt;=10000000,O17*5%,IF(O17&lt;=30000000,O17*10%-500000,IF(O17&lt;=60000000,O17*20%-3500000,IF(O17&lt;=100000000,O17*30%-9500000,O17*35%-14500000)))))</f>
        <v/>
      </c>
      <c r="Q17" s="7">
        <f>IF(C17="","",M17-P17)</f>
        <v/>
      </c>
    </row>
    <row r="18">
      <c r="A18" s="2" t="n"/>
      <c r="B18" s="3" t="n"/>
      <c r="C18" s="3" t="n"/>
      <c r="D18" s="3" t="n"/>
      <c r="E18" s="4" t="n"/>
      <c r="F18" s="5" t="n"/>
      <c r="G18" s="2" t="n"/>
      <c r="H18" s="2" t="n"/>
      <c r="I18" s="5" t="n"/>
      <c r="J18" s="2" t="n"/>
      <c r="K18" s="6">
        <f>IF(C18="","",G18/12)</f>
        <v/>
      </c>
      <c r="L18" s="7">
        <f>IF(C18="","",ROUND(F18*K18*H18,0))</f>
        <v/>
      </c>
      <c r="M18" s="7">
        <f>IF(C18="","",I18+L18)</f>
        <v/>
      </c>
      <c r="N18" s="7">
        <f>IF(C18="","",15500000+J18*6200000)</f>
        <v/>
      </c>
      <c r="O18" s="7">
        <f>IF(C18="","",MAX(0,M18-N18))</f>
        <v/>
      </c>
      <c r="P18" s="7">
        <f>IF(C18="","",IF(O18&lt;=10000000,O18*5%,IF(O18&lt;=30000000,O18*10%-500000,IF(O18&lt;=60000000,O18*20%-3500000,IF(O18&lt;=100000000,O18*30%-9500000,O18*35%-14500000)))))</f>
        <v/>
      </c>
      <c r="Q18" s="7">
        <f>IF(C18="","",M18-P18)</f>
        <v/>
      </c>
    </row>
    <row r="19">
      <c r="A19" s="2" t="n"/>
      <c r="B19" s="3" t="n"/>
      <c r="C19" s="3" t="n"/>
      <c r="D19" s="3" t="n"/>
      <c r="E19" s="4" t="n"/>
      <c r="F19" s="5" t="n"/>
      <c r="G19" s="2" t="n"/>
      <c r="H19" s="2" t="n"/>
      <c r="I19" s="5" t="n"/>
      <c r="J19" s="2" t="n"/>
      <c r="K19" s="6">
        <f>IF(C19="","",G19/12)</f>
        <v/>
      </c>
      <c r="L19" s="7">
        <f>IF(C19="","",ROUND(F19*K19*H19,0))</f>
        <v/>
      </c>
      <c r="M19" s="7">
        <f>IF(C19="","",I19+L19)</f>
        <v/>
      </c>
      <c r="N19" s="7">
        <f>IF(C19="","",15500000+J19*6200000)</f>
        <v/>
      </c>
      <c r="O19" s="7">
        <f>IF(C19="","",MAX(0,M19-N19))</f>
        <v/>
      </c>
      <c r="P19" s="7">
        <f>IF(C19="","",IF(O19&lt;=10000000,O19*5%,IF(O19&lt;=30000000,O19*10%-500000,IF(O19&lt;=60000000,O19*20%-3500000,IF(O19&lt;=100000000,O19*30%-9500000,O19*35%-14500000)))))</f>
        <v/>
      </c>
      <c r="Q19" s="7">
        <f>IF(C19="","",M19-P19)</f>
        <v/>
      </c>
    </row>
    <row r="20">
      <c r="A20" s="2" t="n"/>
      <c r="B20" s="3" t="n"/>
      <c r="C20" s="3" t="n"/>
      <c r="D20" s="3" t="n"/>
      <c r="E20" s="4" t="n"/>
      <c r="F20" s="5" t="n"/>
      <c r="G20" s="2" t="n"/>
      <c r="H20" s="2" t="n"/>
      <c r="I20" s="5" t="n"/>
      <c r="J20" s="2" t="n"/>
      <c r="K20" s="6">
        <f>IF(C20="","",G20/12)</f>
        <v/>
      </c>
      <c r="L20" s="7">
        <f>IF(C20="","",ROUND(F20*K20*H20,0))</f>
        <v/>
      </c>
      <c r="M20" s="7">
        <f>IF(C20="","",I20+L20)</f>
        <v/>
      </c>
      <c r="N20" s="7">
        <f>IF(C20="","",15500000+J20*6200000)</f>
        <v/>
      </c>
      <c r="O20" s="7">
        <f>IF(C20="","",MAX(0,M20-N20))</f>
        <v/>
      </c>
      <c r="P20" s="7">
        <f>IF(C20="","",IF(O20&lt;=10000000,O20*5%,IF(O20&lt;=30000000,O20*10%-500000,IF(O20&lt;=60000000,O20*20%-3500000,IF(O20&lt;=100000000,O20*30%-9500000,O20*35%-14500000)))))</f>
        <v/>
      </c>
      <c r="Q20" s="7">
        <f>IF(C20="","",M20-P20)</f>
        <v/>
      </c>
    </row>
    <row r="21">
      <c r="A21" s="2" t="n"/>
      <c r="B21" s="3" t="n"/>
      <c r="C21" s="3" t="n"/>
      <c r="D21" s="3" t="n"/>
      <c r="E21" s="4" t="n"/>
      <c r="F21" s="5" t="n"/>
      <c r="G21" s="2" t="n"/>
      <c r="H21" s="2" t="n"/>
      <c r="I21" s="5" t="n"/>
      <c r="J21" s="2" t="n"/>
      <c r="K21" s="6">
        <f>IF(C21="","",G21/12)</f>
        <v/>
      </c>
      <c r="L21" s="7">
        <f>IF(C21="","",ROUND(F21*K21*H21,0))</f>
        <v/>
      </c>
      <c r="M21" s="7">
        <f>IF(C21="","",I21+L21)</f>
        <v/>
      </c>
      <c r="N21" s="7">
        <f>IF(C21="","",15500000+J21*6200000)</f>
        <v/>
      </c>
      <c r="O21" s="7">
        <f>IF(C21="","",MAX(0,M21-N21))</f>
        <v/>
      </c>
      <c r="P21" s="7">
        <f>IF(C21="","",IF(O21&lt;=10000000,O21*5%,IF(O21&lt;=30000000,O21*10%-500000,IF(O21&lt;=60000000,O21*20%-3500000,IF(O21&lt;=100000000,O21*30%-9500000,O21*35%-14500000)))))</f>
        <v/>
      </c>
      <c r="Q21" s="7">
        <f>IF(C21="","",M21-P21)</f>
        <v/>
      </c>
    </row>
    <row r="22">
      <c r="A22" s="2" t="n"/>
      <c r="B22" s="3" t="n"/>
      <c r="C22" s="3" t="n"/>
      <c r="D22" s="3" t="n"/>
      <c r="E22" s="4" t="n"/>
      <c r="F22" s="5" t="n"/>
      <c r="G22" s="2" t="n"/>
      <c r="H22" s="2" t="n"/>
      <c r="I22" s="5" t="n"/>
      <c r="J22" s="2" t="n"/>
      <c r="K22" s="6">
        <f>IF(C22="","",G22/12)</f>
        <v/>
      </c>
      <c r="L22" s="7">
        <f>IF(C22="","",ROUND(F22*K22*H22,0))</f>
        <v/>
      </c>
      <c r="M22" s="7">
        <f>IF(C22="","",I22+L22)</f>
        <v/>
      </c>
      <c r="N22" s="7">
        <f>IF(C22="","",15500000+J22*6200000)</f>
        <v/>
      </c>
      <c r="O22" s="7">
        <f>IF(C22="","",MAX(0,M22-N22))</f>
        <v/>
      </c>
      <c r="P22" s="7">
        <f>IF(C22="","",IF(O22&lt;=10000000,O22*5%,IF(O22&lt;=30000000,O22*10%-500000,IF(O22&lt;=60000000,O22*20%-3500000,IF(O22&lt;=100000000,O22*30%-9500000,O22*35%-14500000)))))</f>
        <v/>
      </c>
      <c r="Q22" s="7">
        <f>IF(C22="","",M22-P22)</f>
        <v/>
      </c>
    </row>
    <row r="23">
      <c r="A23" s="2" t="n"/>
      <c r="B23" s="3" t="n"/>
      <c r="C23" s="3" t="n"/>
      <c r="D23" s="3" t="n"/>
      <c r="E23" s="4" t="n"/>
      <c r="F23" s="5" t="n"/>
      <c r="G23" s="2" t="n"/>
      <c r="H23" s="2" t="n"/>
      <c r="I23" s="5" t="n"/>
      <c r="J23" s="2" t="n"/>
      <c r="K23" s="6">
        <f>IF(C23="","",G23/12)</f>
        <v/>
      </c>
      <c r="L23" s="7">
        <f>IF(C23="","",ROUND(F23*K23*H23,0))</f>
        <v/>
      </c>
      <c r="M23" s="7">
        <f>IF(C23="","",I23+L23)</f>
        <v/>
      </c>
      <c r="N23" s="7">
        <f>IF(C23="","",15500000+J23*6200000)</f>
        <v/>
      </c>
      <c r="O23" s="7">
        <f>IF(C23="","",MAX(0,M23-N23))</f>
        <v/>
      </c>
      <c r="P23" s="7">
        <f>IF(C23="","",IF(O23&lt;=10000000,O23*5%,IF(O23&lt;=30000000,O23*10%-500000,IF(O23&lt;=60000000,O23*20%-3500000,IF(O23&lt;=100000000,O23*30%-9500000,O23*35%-14500000)))))</f>
        <v/>
      </c>
      <c r="Q23" s="7">
        <f>IF(C23="","",M23-P23)</f>
        <v/>
      </c>
    </row>
    <row r="24">
      <c r="A24" s="2" t="n"/>
      <c r="B24" s="3" t="n"/>
      <c r="C24" s="3" t="n"/>
      <c r="D24" s="3" t="n"/>
      <c r="E24" s="4" t="n"/>
      <c r="F24" s="5" t="n"/>
      <c r="G24" s="2" t="n"/>
      <c r="H24" s="2" t="n"/>
      <c r="I24" s="5" t="n"/>
      <c r="J24" s="2" t="n"/>
      <c r="K24" s="6">
        <f>IF(C24="","",G24/12)</f>
        <v/>
      </c>
      <c r="L24" s="7">
        <f>IF(C24="","",ROUND(F24*K24*H24,0))</f>
        <v/>
      </c>
      <c r="M24" s="7">
        <f>IF(C24="","",I24+L24)</f>
        <v/>
      </c>
      <c r="N24" s="7">
        <f>IF(C24="","",15500000+J24*6200000)</f>
        <v/>
      </c>
      <c r="O24" s="7">
        <f>IF(C24="","",MAX(0,M24-N24))</f>
        <v/>
      </c>
      <c r="P24" s="7">
        <f>IF(C24="","",IF(O24&lt;=10000000,O24*5%,IF(O24&lt;=30000000,O24*10%-500000,IF(O24&lt;=60000000,O24*20%-3500000,IF(O24&lt;=100000000,O24*30%-9500000,O24*35%-14500000)))))</f>
        <v/>
      </c>
      <c r="Q24" s="7">
        <f>IF(C24="","",M24-P24)</f>
        <v/>
      </c>
    </row>
    <row r="25">
      <c r="A25" s="2" t="n"/>
      <c r="B25" s="3" t="n"/>
      <c r="C25" s="3" t="n"/>
      <c r="D25" s="3" t="n"/>
      <c r="E25" s="4" t="n"/>
      <c r="F25" s="5" t="n"/>
      <c r="G25" s="2" t="n"/>
      <c r="H25" s="2" t="n"/>
      <c r="I25" s="5" t="n"/>
      <c r="J25" s="2" t="n"/>
      <c r="K25" s="6">
        <f>IF(C25="","",G25/12)</f>
        <v/>
      </c>
      <c r="L25" s="7">
        <f>IF(C25="","",ROUND(F25*K25*H25,0))</f>
        <v/>
      </c>
      <c r="M25" s="7">
        <f>IF(C25="","",I25+L25)</f>
        <v/>
      </c>
      <c r="N25" s="7">
        <f>IF(C25="","",15500000+J25*6200000)</f>
        <v/>
      </c>
      <c r="O25" s="7">
        <f>IF(C25="","",MAX(0,M25-N25))</f>
        <v/>
      </c>
      <c r="P25" s="7">
        <f>IF(C25="","",IF(O25&lt;=10000000,O25*5%,IF(O25&lt;=30000000,O25*10%-500000,IF(O25&lt;=60000000,O25*20%-3500000,IF(O25&lt;=100000000,O25*30%-9500000,O25*35%-14500000)))))</f>
        <v/>
      </c>
      <c r="Q25" s="7">
        <f>IF(C25="","",M25-P25)</f>
        <v/>
      </c>
    </row>
    <row r="26">
      <c r="A26" s="2" t="n"/>
      <c r="B26" s="3" t="n"/>
      <c r="C26" s="3" t="n"/>
      <c r="D26" s="3" t="n"/>
      <c r="E26" s="4" t="n"/>
      <c r="F26" s="5" t="n"/>
      <c r="G26" s="2" t="n"/>
      <c r="H26" s="2" t="n"/>
      <c r="I26" s="5" t="n"/>
      <c r="J26" s="2" t="n"/>
      <c r="K26" s="6">
        <f>IF(C26="","",G26/12)</f>
        <v/>
      </c>
      <c r="L26" s="7">
        <f>IF(C26="","",ROUND(F26*K26*H26,0))</f>
        <v/>
      </c>
      <c r="M26" s="7">
        <f>IF(C26="","",I26+L26)</f>
        <v/>
      </c>
      <c r="N26" s="7">
        <f>IF(C26="","",15500000+J26*6200000)</f>
        <v/>
      </c>
      <c r="O26" s="7">
        <f>IF(C26="","",MAX(0,M26-N26))</f>
        <v/>
      </c>
      <c r="P26" s="7">
        <f>IF(C26="","",IF(O26&lt;=10000000,O26*5%,IF(O26&lt;=30000000,O26*10%-500000,IF(O26&lt;=60000000,O26*20%-3500000,IF(O26&lt;=100000000,O26*30%-9500000,O26*35%-14500000)))))</f>
        <v/>
      </c>
      <c r="Q26" s="7">
        <f>IF(C26="","",M26-P26)</f>
        <v/>
      </c>
    </row>
    <row r="27">
      <c r="A27" s="2" t="n"/>
      <c r="B27" s="3" t="n"/>
      <c r="C27" s="3" t="n"/>
      <c r="D27" s="3" t="n"/>
      <c r="E27" s="4" t="n"/>
      <c r="F27" s="5" t="n"/>
      <c r="G27" s="2" t="n"/>
      <c r="H27" s="2" t="n"/>
      <c r="I27" s="5" t="n"/>
      <c r="J27" s="2" t="n"/>
      <c r="K27" s="6">
        <f>IF(C27="","",G27/12)</f>
        <v/>
      </c>
      <c r="L27" s="7">
        <f>IF(C27="","",ROUND(F27*K27*H27,0))</f>
        <v/>
      </c>
      <c r="M27" s="7">
        <f>IF(C27="","",I27+L27)</f>
        <v/>
      </c>
      <c r="N27" s="7">
        <f>IF(C27="","",15500000+J27*6200000)</f>
        <v/>
      </c>
      <c r="O27" s="7">
        <f>IF(C27="","",MAX(0,M27-N27))</f>
        <v/>
      </c>
      <c r="P27" s="7">
        <f>IF(C27="","",IF(O27&lt;=10000000,O27*5%,IF(O27&lt;=30000000,O27*10%-500000,IF(O27&lt;=60000000,O27*20%-3500000,IF(O27&lt;=100000000,O27*30%-9500000,O27*35%-14500000)))))</f>
        <v/>
      </c>
      <c r="Q27" s="7">
        <f>IF(C27="","",M27-P27)</f>
        <v/>
      </c>
    </row>
    <row r="28">
      <c r="A28" s="2" t="n"/>
      <c r="B28" s="3" t="n"/>
      <c r="C28" s="3" t="n"/>
      <c r="D28" s="3" t="n"/>
      <c r="E28" s="4" t="n"/>
      <c r="F28" s="5" t="n"/>
      <c r="G28" s="2" t="n"/>
      <c r="H28" s="2" t="n"/>
      <c r="I28" s="5" t="n"/>
      <c r="J28" s="2" t="n"/>
      <c r="K28" s="6">
        <f>IF(C28="","",G28/12)</f>
        <v/>
      </c>
      <c r="L28" s="7">
        <f>IF(C28="","",ROUND(F28*K28*H28,0))</f>
        <v/>
      </c>
      <c r="M28" s="7">
        <f>IF(C28="","",I28+L28)</f>
        <v/>
      </c>
      <c r="N28" s="7">
        <f>IF(C28="","",15500000+J28*6200000)</f>
        <v/>
      </c>
      <c r="O28" s="7">
        <f>IF(C28="","",MAX(0,M28-N28))</f>
        <v/>
      </c>
      <c r="P28" s="7">
        <f>IF(C28="","",IF(O28&lt;=10000000,O28*5%,IF(O28&lt;=30000000,O28*10%-500000,IF(O28&lt;=60000000,O28*20%-3500000,IF(O28&lt;=100000000,O28*30%-9500000,O28*35%-14500000)))))</f>
        <v/>
      </c>
      <c r="Q28" s="7">
        <f>IF(C28="","",M28-P28)</f>
        <v/>
      </c>
    </row>
    <row r="29">
      <c r="A29" s="2" t="n"/>
      <c r="B29" s="3" t="n"/>
      <c r="C29" s="3" t="n"/>
      <c r="D29" s="3" t="n"/>
      <c r="E29" s="4" t="n"/>
      <c r="F29" s="5" t="n"/>
      <c r="G29" s="2" t="n"/>
      <c r="H29" s="2" t="n"/>
      <c r="I29" s="5" t="n"/>
      <c r="J29" s="2" t="n"/>
      <c r="K29" s="6">
        <f>IF(C29="","",G29/12)</f>
        <v/>
      </c>
      <c r="L29" s="7">
        <f>IF(C29="","",ROUND(F29*K29*H29,0))</f>
        <v/>
      </c>
      <c r="M29" s="7">
        <f>IF(C29="","",I29+L29)</f>
        <v/>
      </c>
      <c r="N29" s="7">
        <f>IF(C29="","",15500000+J29*6200000)</f>
        <v/>
      </c>
      <c r="O29" s="7">
        <f>IF(C29="","",MAX(0,M29-N29))</f>
        <v/>
      </c>
      <c r="P29" s="7">
        <f>IF(C29="","",IF(O29&lt;=10000000,O29*5%,IF(O29&lt;=30000000,O29*10%-500000,IF(O29&lt;=60000000,O29*20%-3500000,IF(O29&lt;=100000000,O29*30%-9500000,O29*35%-14500000)))))</f>
        <v/>
      </c>
      <c r="Q29" s="7">
        <f>IF(C29="","",M29-P29)</f>
        <v/>
      </c>
    </row>
    <row r="30">
      <c r="A30" s="2" t="n"/>
      <c r="B30" s="3" t="n"/>
      <c r="C30" s="3" t="n"/>
      <c r="D30" s="3" t="n"/>
      <c r="E30" s="4" t="n"/>
      <c r="F30" s="5" t="n"/>
      <c r="G30" s="2" t="n"/>
      <c r="H30" s="2" t="n"/>
      <c r="I30" s="5" t="n"/>
      <c r="J30" s="2" t="n"/>
      <c r="K30" s="6">
        <f>IF(C30="","",G30/12)</f>
        <v/>
      </c>
      <c r="L30" s="7">
        <f>IF(C30="","",ROUND(F30*K30*H30,0))</f>
        <v/>
      </c>
      <c r="M30" s="7">
        <f>IF(C30="","",I30+L30)</f>
        <v/>
      </c>
      <c r="N30" s="7">
        <f>IF(C30="","",15500000+J30*6200000)</f>
        <v/>
      </c>
      <c r="O30" s="7">
        <f>IF(C30="","",MAX(0,M30-N30))</f>
        <v/>
      </c>
      <c r="P30" s="7">
        <f>IF(C30="","",IF(O30&lt;=10000000,O30*5%,IF(O30&lt;=30000000,O30*10%-500000,IF(O30&lt;=60000000,O30*20%-3500000,IF(O30&lt;=100000000,O30*30%-9500000,O30*35%-14500000)))))</f>
        <v/>
      </c>
      <c r="Q30" s="7">
        <f>IF(C30="","",M30-P30)</f>
        <v/>
      </c>
    </row>
    <row r="31">
      <c r="A31" s="2" t="n"/>
      <c r="B31" s="3" t="n"/>
      <c r="C31" s="3" t="n"/>
      <c r="D31" s="3" t="n"/>
      <c r="E31" s="4" t="n"/>
      <c r="F31" s="5" t="n"/>
      <c r="G31" s="2" t="n"/>
      <c r="H31" s="2" t="n"/>
      <c r="I31" s="5" t="n"/>
      <c r="J31" s="2" t="n"/>
      <c r="K31" s="6">
        <f>IF(C31="","",G31/12)</f>
        <v/>
      </c>
      <c r="L31" s="7">
        <f>IF(C31="","",ROUND(F31*K31*H31,0))</f>
        <v/>
      </c>
      <c r="M31" s="7">
        <f>IF(C31="","",I31+L31)</f>
        <v/>
      </c>
      <c r="N31" s="7">
        <f>IF(C31="","",15500000+J31*6200000)</f>
        <v/>
      </c>
      <c r="O31" s="7">
        <f>IF(C31="","",MAX(0,M31-N31))</f>
        <v/>
      </c>
      <c r="P31" s="7">
        <f>IF(C31="","",IF(O31&lt;=10000000,O31*5%,IF(O31&lt;=30000000,O31*10%-500000,IF(O31&lt;=60000000,O31*20%-3500000,IF(O31&lt;=100000000,O31*30%-9500000,O31*35%-14500000)))))</f>
        <v/>
      </c>
      <c r="Q31" s="7">
        <f>IF(C31="","",M31-P31)</f>
        <v/>
      </c>
    </row>
  </sheetData>
  <autoFilter ref="A1:Q31"/>
  <dataValidations count="4">
    <dataValidation sqref="D2:D31" showDropDown="0" showInputMessage="0" showErrorMessage="0" allowBlank="1" errorTitle="Sai định dạng" error="Giá trị không hợp lệ cho cột này." type="list">
      <formula1>"Kinh doanh,Kế toán,Nhân sự,Kỹ thuật,Kho vận"</formula1>
    </dataValidation>
    <dataValidation sqref="G2:G31" showDropDown="0" showInputMessage="0" showErrorMessage="0" allowBlank="1" errorTitle="Sai định dạng" error="Giá trị không hợp lệ cho cột này." type="decimal" operator="between">
      <formula1>0</formula1>
      <formula2>12</formula2>
    </dataValidation>
    <dataValidation sqref="H2:H31" showDropDown="0" showInputMessage="0" showErrorMessage="0" allowBlank="1" errorTitle="Sai định dạng" error="Giá trị không hợp lệ cho cột này." type="decimal" operator="between">
      <formula1>0</formula1>
      <formula2>2</formula2>
    </dataValidation>
    <dataValidation sqref="J2:J31" showDropDown="0" showInputMessage="0" showErrorMessage="0" allowBlank="1" errorTitle="Sai định dạng" error="Giá trị không hợp lệ cho cột này." type="whole" operator="between">
      <formula1>0</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2"/>
  <sheetViews>
    <sheetView workbookViewId="0">
      <selection activeCell="A1" sqref="A1"/>
    </sheetView>
  </sheetViews>
  <sheetFormatPr baseColWidth="8" defaultRowHeight="15"/>
  <cols>
    <col width="4" customWidth="1" min="1" max="1"/>
    <col width="100" customWidth="1" min="2" max="2"/>
  </cols>
  <sheetData>
    <row r="1">
      <c r="B1" s="8" t="inlineStr">
        <is>
          <t>Mẫu Excel tính thưởng tháng 13 theo số tháng làm việc thực tế</t>
        </is>
      </c>
    </row>
    <row r="2">
      <c r="B2" s="9" t="inlineStr"/>
    </row>
    <row r="3">
      <c r="B3" s="10" t="inlineStr">
        <is>
          <t>CÁCH DÙNG</t>
        </is>
      </c>
    </row>
    <row r="4">
      <c r="B4" s="11" t="inlineStr">
        <is>
          <t>1. Chốt công thức thưởng và công bố trước khi điền số</t>
        </is>
      </c>
    </row>
    <row r="5">
      <c r="B5" s="9" t="inlineStr">
        <is>
          <t xml:space="preserve">   Thưởng tháng 13 không phải nghĩa vụ luật định mà là cam kết của công ty, nên căn cứ duy nhất là quy chế thưởng hoặc thỏa ước lao động. Chốt trước công thức, cách tính số tháng và thang hệ số, rồi mới mở file. Làm ngược lại thì mọi con số đều bị coi là tùy ý.</t>
        </is>
      </c>
    </row>
    <row r="6">
      <c r="B6" s="11" t="inlineStr">
        <is>
          <t>2. Nhập lương bình quân, không nhập lương tháng 12</t>
        </is>
      </c>
    </row>
    <row r="7">
      <c r="B7" s="9" t="inlineStr">
        <is>
          <t xml:space="preserve">   Lương bình quân của cả thời gian làm việc trong năm mới phản ánh đúng, vì người được tăng lương giữa năm nếu lấy lương tháng 12 sẽ được thưởng trên mức cao hơn mức họ hưởng phần lớn thời gian. Công ty nào quy chế ghi rõ lấy lương tháng 12 thì cứ điền lương tháng 12, nhưng phải nhất quán cho mọi người.</t>
        </is>
      </c>
    </row>
    <row r="8">
      <c r="B8" s="11" t="inlineStr">
        <is>
          <t>3. Đếm số tháng làm việc theo quy tắc đã công bố</t>
        </is>
      </c>
    </row>
    <row r="9">
      <c r="B9" s="9" t="inlineStr">
        <is>
          <t xml:space="preserve">   Vào làm ngày 20 tháng 3 thì tính 9 tháng hay 9,5 tháng phụ thuộc quy chế: có nơi làm đủ 15 ngày trở lên tính một tháng, có nơi tính theo ngày rồi chia 30. Cột này nhận số lẻ nên chọn cách nào cũng ghi được, miễn là một cách cho tất cả.</t>
        </is>
      </c>
    </row>
    <row r="10">
      <c r="B10" s="11" t="inlineStr">
        <is>
          <t>4. Điền hệ số đánh giá theo thang đã thống nhất</t>
        </is>
      </c>
    </row>
    <row r="11">
      <c r="B11" s="9" t="inlineStr">
        <is>
          <t xml:space="preserve">   Thang thường dùng là 0,8 cho mức cần cải thiện, 1,0 cho mức đạt, 1,2 cho mức tốt và 1,5 cho mức xuất sắc. Lấy kết quả từ bảng đánh giá KPI để hệ số có căn cứ, đừng để trưởng bộ phận tự điền một con số không gắn với gì.</t>
        </is>
      </c>
    </row>
    <row r="12">
      <c r="B12" s="11" t="inlineStr">
        <is>
          <t>5. Điền thu nhập chịu thuế của tháng chi trả rồi đọc cột thuế</t>
        </is>
      </c>
    </row>
    <row r="13">
      <c r="B13" s="9" t="inlineStr">
        <is>
          <t xml:space="preserve">   Cột Lương tháng chi trả nhận phần thu nhập chịu thuế của tháng đó, tức đã trừ bảo hiểm. Thuế được tính trên tổng lương cộng thưởng vì cả hai đều là thu nhập của cùng một tháng. Nếu công ty chi thưởng vào tháng 1 năm sau thì con số này là lương tháng 1, không phải lương tháng 12.</t>
        </is>
      </c>
    </row>
    <row r="14">
      <c r="B14" s="9" t="inlineStr"/>
    </row>
    <row r="15">
      <c r="B15" s="10" t="inlineStr">
        <is>
          <t>CÔNG THỨC TRONG FILE</t>
        </is>
      </c>
    </row>
    <row r="16">
      <c r="B16" s="11" t="inlineStr">
        <is>
          <t>Tỷ lệ thời gian  —  =IF(C2="","",G2/12)</t>
        </is>
      </c>
    </row>
    <row r="17">
      <c r="B17" s="9" t="inlineStr">
        <is>
          <t xml:space="preserve">   Số tháng làm việc chia 12. Cột này để trần ra cho người lao động tự soát: ai vào tháng 4 thấy 75% là hiểu ngay vì sao thưởng của mình thấp hơn đồng nghiệp, không cần hỏi lại nhân sự.</t>
        </is>
      </c>
    </row>
    <row r="18">
      <c r="B18" s="11" t="inlineStr">
        <is>
          <t>Thưởng trước thuế  —  =IF(C2="","",ROUND(F2*K2*H2,0))</t>
        </is>
      </c>
    </row>
    <row r="19">
      <c r="B19" s="9" t="inlineStr">
        <is>
          <t xml:space="preserve">   Lương bình quân nhân tỷ lệ thời gian nhân hệ số đánh giá. Thứ tự này quan trọng: phần thời gian là quyền theo thâm niên trong năm, phần hệ số là phần thưởng theo hiệu suất, tách hai bước thì tranh chấp về mức nào cũng chỉ vào đúng một cột.</t>
        </is>
      </c>
    </row>
    <row r="20">
      <c r="B20" s="11" t="inlineStr">
        <is>
          <t>Tổng thu nhập tháng  —  =IF(C2="","",I2+L2)</t>
        </is>
      </c>
    </row>
    <row r="21">
      <c r="B21" s="9" t="inlineStr">
        <is>
          <t xml:space="preserve">   Thưởng và lương của cùng một tháng chi trả phải cộng vào nhau trước khi tính thuế, vì thuế thu nhập cá nhân tính theo tổng thu nhập của tháng chứ không tính riêng từng khoản.</t>
        </is>
      </c>
    </row>
    <row r="22">
      <c r="B22" s="11" t="inlineStr">
        <is>
          <t>Giảm trừ gia cảnh  —  =IF(C2="","",15500000+J2*6200000)</t>
        </is>
      </c>
    </row>
    <row r="23">
      <c r="B23" s="9" t="inlineStr">
        <is>
          <t xml:space="preserve">   Giảm trừ bản thân 15,5 triệu một tháng cộng 6,2 triệu cho mỗi người phụ thuộc, theo mức áp dụng từ 2026. Đây đúng là bộ số mà bảng tính lương đang dùng, sửa một bên thì phải sửa cả hai.</t>
        </is>
      </c>
    </row>
    <row r="24">
      <c r="B24" s="11" t="inlineStr">
        <is>
          <t>Thu nhập tính thuế  —  =IF(C2="","",MAX(0,M2-N2))</t>
        </is>
      </c>
    </row>
    <row r="25">
      <c r="B25" s="9" t="inlineStr">
        <is>
          <t xml:space="preserve">   MAX chặn ở 0 vì thu nhập dưới mức giảm trừ thì không nộp thuế, không có chuyện thuế âm. Cột Lương tháng chi trả phải là thu nhập đã trừ bảo hiểm, nên ở đây không trừ bảo hiểm lần nữa.</t>
        </is>
      </c>
    </row>
    <row r="26">
      <c r="B26" s="11" t="inlineStr">
        <is>
          <t>Thuế TNCN  —  =IF(C2="","",IF(O2&lt;=10000000,O2*5%,IF(O2&lt;=30000000,O2*10%-500000,IF(O2&lt;=60000000,O2*20%-3500000,IF(O2&lt;=100000000,O2*30%-9500000,O2*35%-14500000)))))</t>
        </is>
      </c>
    </row>
    <row r="27">
      <c r="B27" s="9" t="inlineStr">
        <is>
          <t xml:space="preserve">   Biểu lũy tiến 5 bậc viết dạng thuế suất trừ số giảm nhanh, nên bốn hàm IF lồng nhau là đủ thay cho một bảng tra. Đây là thuế của cả tháng chi trả gồm cả lương và thưởng, không phải thuế của riêng khoản thưởng.</t>
        </is>
      </c>
    </row>
    <row r="28">
      <c r="B28" s="11" t="inlineStr">
        <is>
          <t>Thực nhận trong tháng  —  =IF(C2="","",M2-P2)</t>
        </is>
      </c>
    </row>
    <row r="29">
      <c r="B29" s="9" t="inlineStr">
        <is>
          <t xml:space="preserve">   Số tiền người lao động thực nhận trong tháng có thưởng, đã gồm cả lương. Đưa con số này lên phiếu thưởng thì người nhận thấy ngay vì sao thưởng 20 triệu mà tài khoản không tăng đúng 20 triệu.</t>
        </is>
      </c>
    </row>
    <row r="30">
      <c r="B30" s="9" t="inlineStr"/>
    </row>
    <row r="31">
      <c r="B31" s="11" t="inlineStr">
        <is>
          <t>Bản cập nhật mới nhất và hướng dẫn chi tiết:</t>
        </is>
      </c>
    </row>
    <row r="32">
      <c r="B32" s="12" t="inlineStr">
        <is>
          <t>https://excel.nguyenvietloc.com/mau-excel/nhan-su/bang-tinh-thuong-thang-13</t>
        </is>
      </c>
    </row>
  </sheetData>
  <hyperlinks>
    <hyperlink xmlns:r="http://schemas.openxmlformats.org/officeDocument/2006/relationships" ref="B3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2026-08-10T13:56:11Z</dcterms:created>
  <dcterms:modified xsi:type="dcterms:W3CDTF">2026-08-10T13:56:11Z</dcterms:modified>
</cp:coreProperties>
</file>