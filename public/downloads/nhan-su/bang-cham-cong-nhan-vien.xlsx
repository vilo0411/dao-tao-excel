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hấm công" sheetId="1" state="visible" r:id="rId1"/>
    <sheet name="Hướng dẫn" sheetId="2" state="visible" r:id="rId2"/>
  </sheets>
  <definedNames>
    <definedName name="_xlnm._FilterDatabase" localSheetId="0" hidden="1">'Chấm công'!$A$1:$L$25</definedName>
  </definedNames>
  <calcPr calcId="124519" fullCalcOnLoad="1"/>
</workbook>
</file>

<file path=xl/styles.xml><?xml version="1.0" encoding="utf-8"?>
<styleSheet xmlns="http://schemas.openxmlformats.org/spreadsheetml/2006/main">
  <numFmts count="2">
    <numFmt numFmtId="164" formatCode="#,##0.##"/>
    <numFmt numFmtId="165" formatCode="0.0%"/>
  </numFmts>
  <fonts count="6">
    <font>
      <name val="Calibri"/>
      <family val="2"/>
      <color theme="1"/>
      <sz val="11"/>
      <scheme val="minor"/>
    </font>
    <font>
      <b val="1"/>
      <color rgb="00FFFFFF"/>
      <sz val="11"/>
    </font>
    <font>
      <b val="1"/>
      <sz val="14"/>
    </font>
    <font>
      <b val="1"/>
      <sz val="12"/>
    </font>
    <font>
      <b val="1"/>
    </font>
    <font>
      <color rgb="001D4ED8"/>
      <u val="single"/>
    </font>
  </fonts>
  <fills count="4">
    <fill>
      <patternFill/>
    </fill>
    <fill>
      <patternFill patternType="gray125"/>
    </fill>
    <fill>
      <patternFill patternType="solid">
        <fgColor rgb="001D4ED8"/>
      </patternFill>
    </fill>
    <fill>
      <patternFill patternType="solid">
        <fgColor rgb="00EFF6FF"/>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11">
    <xf numFmtId="0" fontId="0" fillId="0" borderId="0" pivotButton="0" quotePrefix="0" xfId="0"/>
    <xf numFmtId="0" fontId="1" fillId="2" borderId="1" applyAlignment="1" pivotButton="0" quotePrefix="0" xfId="0">
      <alignment horizontal="center" vertical="center" wrapText="1"/>
    </xf>
    <xf numFmtId="164" fontId="0" fillId="0" borderId="1" pivotButton="0" quotePrefix="0" xfId="0"/>
    <xf numFmtId="49" fontId="0" fillId="0" borderId="1" pivotButton="0" quotePrefix="0" xfId="0"/>
    <xf numFmtId="164" fontId="0" fillId="3" borderId="1" pivotButton="0" quotePrefix="0" xfId="0"/>
    <xf numFmtId="165" fontId="0" fillId="3" borderId="1" pivotButton="0" quotePrefix="0" xfId="0"/>
    <xf numFmtId="0" fontId="2" fillId="0" borderId="0" applyAlignment="1" pivotButton="0" quotePrefix="0" xfId="0">
      <alignment vertical="top" wrapText="1"/>
    </xf>
    <xf numFmtId="0" fontId="0"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excel.nguyenvietloc.com/mau-excel/nhan-su/bang-cham-cong-nhan-vien" TargetMode="External" Id="rId1" /></Relationships>
</file>

<file path=xl/worksheets/sheet1.xml><?xml version="1.0" encoding="utf-8"?>
<worksheet xmlns="http://schemas.openxmlformats.org/spreadsheetml/2006/main">
  <sheetPr>
    <outlinePr summaryBelow="1" summaryRight="1"/>
    <pageSetUpPr/>
  </sheetPr>
  <dimension ref="A1:L25"/>
  <sheetViews>
    <sheetView workbookViewId="0">
      <pane ySplit="1" topLeftCell="A2" activePane="bottomLeft" state="frozen"/>
      <selection pane="bottomLeft" activeCell="A1" sqref="A1"/>
    </sheetView>
  </sheetViews>
  <sheetFormatPr baseColWidth="8" defaultRowHeight="15"/>
  <cols>
    <col width="6" customWidth="1" min="1" max="1"/>
    <col width="12" customWidth="1" min="2" max="2"/>
    <col width="24" customWidth="1" min="3" max="3"/>
    <col width="18" customWidth="1" min="4" max="4"/>
    <col width="12" customWidth="1" min="5" max="5"/>
    <col width="16" customWidth="1" min="6" max="6"/>
    <col width="12" customWidth="1" min="7" max="7"/>
    <col width="16" customWidth="1" min="8" max="8"/>
    <col width="12" customWidth="1" min="9" max="9"/>
    <col width="18" customWidth="1" min="10" max="10"/>
    <col width="16" customWidth="1" min="11" max="11"/>
    <col width="16" customWidth="1" min="12" max="12"/>
  </cols>
  <sheetData>
    <row r="1" ht="32" customHeight="1">
      <c r="A1" s="1" t="inlineStr">
        <is>
          <t>STT</t>
        </is>
      </c>
      <c r="B1" s="1" t="inlineStr">
        <is>
          <t>Mã NV</t>
        </is>
      </c>
      <c r="C1" s="1" t="inlineStr">
        <is>
          <t>Họ và tên</t>
        </is>
      </c>
      <c r="D1" s="1" t="inlineStr">
        <is>
          <t>Bộ phận</t>
        </is>
      </c>
      <c r="E1" s="1" t="inlineStr">
        <is>
          <t>Công chuẩn</t>
        </is>
      </c>
      <c r="F1" s="1" t="inlineStr">
        <is>
          <t>Ngày công thực tế</t>
        </is>
      </c>
      <c r="G1" s="1" t="inlineStr">
        <is>
          <t>Nghỉ phép</t>
        </is>
      </c>
      <c r="H1" s="1" t="inlineStr">
        <is>
          <t>Nghỉ không lương</t>
        </is>
      </c>
      <c r="I1" s="1" t="inlineStr">
        <is>
          <t>Giờ tăng ca</t>
        </is>
      </c>
      <c r="J1" s="1" t="inlineStr">
        <is>
          <t>Tổng công hưởng lương</t>
        </is>
      </c>
      <c r="K1" s="1" t="inlineStr">
        <is>
          <t>Tỷ lệ chuyên cần</t>
        </is>
      </c>
      <c r="L1" s="1" t="inlineStr">
        <is>
          <t>Xếp loại</t>
        </is>
      </c>
    </row>
    <row r="2">
      <c r="A2" s="2" t="n">
        <v>1</v>
      </c>
      <c r="B2" s="3" t="inlineStr">
        <is>
          <t>NV001</t>
        </is>
      </c>
      <c r="C2" s="3" t="inlineStr">
        <is>
          <t>Nguyễn Thị Mai</t>
        </is>
      </c>
      <c r="D2" s="3" t="inlineStr">
        <is>
          <t>Kinh doanh</t>
        </is>
      </c>
      <c r="E2" s="2" t="n">
        <v>26</v>
      </c>
      <c r="F2" s="2" t="n">
        <v>24</v>
      </c>
      <c r="G2" s="2" t="n">
        <v>2</v>
      </c>
      <c r="H2" s="2" t="n">
        <v>0</v>
      </c>
      <c r="I2" s="2" t="n">
        <v>8</v>
      </c>
      <c r="J2" s="4">
        <f>IF(C2="","",F2+G2)</f>
        <v/>
      </c>
      <c r="K2" s="5">
        <f>IF(C2="","",IFERROR(J2/E2,0))</f>
        <v/>
      </c>
      <c r="L2" s="4">
        <f>IF(C2="","",IF(K2&gt;=1,"Đủ công",IF(K2&gt;=0.9,"Khá","Cần xem lại")))</f>
        <v/>
      </c>
    </row>
    <row r="3">
      <c r="A3" s="2" t="n">
        <v>2</v>
      </c>
      <c r="B3" s="3" t="inlineStr">
        <is>
          <t>NV002</t>
        </is>
      </c>
      <c r="C3" s="3" t="inlineStr">
        <is>
          <t>Trần Văn Hùng</t>
        </is>
      </c>
      <c r="D3" s="3" t="inlineStr">
        <is>
          <t>Kỹ thuật</t>
        </is>
      </c>
      <c r="E3" s="2" t="n">
        <v>26</v>
      </c>
      <c r="F3" s="2" t="n">
        <v>26</v>
      </c>
      <c r="G3" s="2" t="n">
        <v>0</v>
      </c>
      <c r="H3" s="2" t="n">
        <v>0</v>
      </c>
      <c r="I3" s="2" t="n">
        <v>12</v>
      </c>
      <c r="J3" s="4">
        <f>IF(C3="","",F3+G3)</f>
        <v/>
      </c>
      <c r="K3" s="5">
        <f>IF(C3="","",IFERROR(J3/E3,0))</f>
        <v/>
      </c>
      <c r="L3" s="4">
        <f>IF(C3="","",IF(K3&gt;=1,"Đủ công",IF(K3&gt;=0.9,"Khá","Cần xem lại")))</f>
        <v/>
      </c>
    </row>
    <row r="4">
      <c r="A4" s="2" t="n">
        <v>3</v>
      </c>
      <c r="B4" s="3" t="inlineStr">
        <is>
          <t>NV003</t>
        </is>
      </c>
      <c r="C4" s="3" t="inlineStr">
        <is>
          <t>Lê Thu Hà</t>
        </is>
      </c>
      <c r="D4" s="3" t="inlineStr">
        <is>
          <t>Kế toán</t>
        </is>
      </c>
      <c r="E4" s="2" t="n">
        <v>26</v>
      </c>
      <c r="F4" s="2" t="n">
        <v>21</v>
      </c>
      <c r="G4" s="2" t="n">
        <v>1</v>
      </c>
      <c r="H4" s="2" t="n">
        <v>4</v>
      </c>
      <c r="I4" s="2" t="n">
        <v>0</v>
      </c>
      <c r="J4" s="4">
        <f>IF(C4="","",F4+G4)</f>
        <v/>
      </c>
      <c r="K4" s="5">
        <f>IF(C4="","",IFERROR(J4/E4,0))</f>
        <v/>
      </c>
      <c r="L4" s="4">
        <f>IF(C4="","",IF(K4&gt;=1,"Đủ công",IF(K4&gt;=0.9,"Khá","Cần xem lại")))</f>
        <v/>
      </c>
    </row>
    <row r="5">
      <c r="A5" s="2" t="n">
        <v>4</v>
      </c>
      <c r="B5" s="3" t="inlineStr">
        <is>
          <t>NV004</t>
        </is>
      </c>
      <c r="C5" s="3" t="inlineStr">
        <is>
          <t>Phạm Minh Đức</t>
        </is>
      </c>
      <c r="D5" s="3" t="inlineStr">
        <is>
          <t>Kho vận</t>
        </is>
      </c>
      <c r="E5" s="2" t="n">
        <v>26</v>
      </c>
      <c r="F5" s="2" t="n">
        <v>25</v>
      </c>
      <c r="G5" s="2" t="n">
        <v>0</v>
      </c>
      <c r="H5" s="2" t="n">
        <v>1</v>
      </c>
      <c r="I5" s="2" t="n">
        <v>16</v>
      </c>
      <c r="J5" s="4">
        <f>IF(C5="","",F5+G5)</f>
        <v/>
      </c>
      <c r="K5" s="5">
        <f>IF(C5="","",IFERROR(J5/E5,0))</f>
        <v/>
      </c>
      <c r="L5" s="4">
        <f>IF(C5="","",IF(K5&gt;=1,"Đủ công",IF(K5&gt;=0.9,"Khá","Cần xem lại")))</f>
        <v/>
      </c>
    </row>
    <row r="6">
      <c r="A6" s="2" t="n"/>
      <c r="B6" s="3" t="n"/>
      <c r="C6" s="3" t="n"/>
      <c r="D6" s="3" t="n"/>
      <c r="E6" s="2" t="n"/>
      <c r="F6" s="2" t="n"/>
      <c r="G6" s="2" t="n"/>
      <c r="H6" s="2" t="n"/>
      <c r="I6" s="2" t="n"/>
      <c r="J6" s="4">
        <f>IF(C6="","",F6+G6)</f>
        <v/>
      </c>
      <c r="K6" s="5">
        <f>IF(C6="","",IFERROR(J6/E6,0))</f>
        <v/>
      </c>
      <c r="L6" s="4">
        <f>IF(C6="","",IF(K6&gt;=1,"Đủ công",IF(K6&gt;=0.9,"Khá","Cần xem lại")))</f>
        <v/>
      </c>
    </row>
    <row r="7">
      <c r="A7" s="2" t="n"/>
      <c r="B7" s="3" t="n"/>
      <c r="C7" s="3" t="n"/>
      <c r="D7" s="3" t="n"/>
      <c r="E7" s="2" t="n"/>
      <c r="F7" s="2" t="n"/>
      <c r="G7" s="2" t="n"/>
      <c r="H7" s="2" t="n"/>
      <c r="I7" s="2" t="n"/>
      <c r="J7" s="4">
        <f>IF(C7="","",F7+G7)</f>
        <v/>
      </c>
      <c r="K7" s="5">
        <f>IF(C7="","",IFERROR(J7/E7,0))</f>
        <v/>
      </c>
      <c r="L7" s="4">
        <f>IF(C7="","",IF(K7&gt;=1,"Đủ công",IF(K7&gt;=0.9,"Khá","Cần xem lại")))</f>
        <v/>
      </c>
    </row>
    <row r="8">
      <c r="A8" s="2" t="n"/>
      <c r="B8" s="3" t="n"/>
      <c r="C8" s="3" t="n"/>
      <c r="D8" s="3" t="n"/>
      <c r="E8" s="2" t="n"/>
      <c r="F8" s="2" t="n"/>
      <c r="G8" s="2" t="n"/>
      <c r="H8" s="2" t="n"/>
      <c r="I8" s="2" t="n"/>
      <c r="J8" s="4">
        <f>IF(C8="","",F8+G8)</f>
        <v/>
      </c>
      <c r="K8" s="5">
        <f>IF(C8="","",IFERROR(J8/E8,0))</f>
        <v/>
      </c>
      <c r="L8" s="4">
        <f>IF(C8="","",IF(K8&gt;=1,"Đủ công",IF(K8&gt;=0.9,"Khá","Cần xem lại")))</f>
        <v/>
      </c>
    </row>
    <row r="9">
      <c r="A9" s="2" t="n"/>
      <c r="B9" s="3" t="n"/>
      <c r="C9" s="3" t="n"/>
      <c r="D9" s="3" t="n"/>
      <c r="E9" s="2" t="n"/>
      <c r="F9" s="2" t="n"/>
      <c r="G9" s="2" t="n"/>
      <c r="H9" s="2" t="n"/>
      <c r="I9" s="2" t="n"/>
      <c r="J9" s="4">
        <f>IF(C9="","",F9+G9)</f>
        <v/>
      </c>
      <c r="K9" s="5">
        <f>IF(C9="","",IFERROR(J9/E9,0))</f>
        <v/>
      </c>
      <c r="L9" s="4">
        <f>IF(C9="","",IF(K9&gt;=1,"Đủ công",IF(K9&gt;=0.9,"Khá","Cần xem lại")))</f>
        <v/>
      </c>
    </row>
    <row r="10">
      <c r="A10" s="2" t="n"/>
      <c r="B10" s="3" t="n"/>
      <c r="C10" s="3" t="n"/>
      <c r="D10" s="3" t="n"/>
      <c r="E10" s="2" t="n"/>
      <c r="F10" s="2" t="n"/>
      <c r="G10" s="2" t="n"/>
      <c r="H10" s="2" t="n"/>
      <c r="I10" s="2" t="n"/>
      <c r="J10" s="4">
        <f>IF(C10="","",F10+G10)</f>
        <v/>
      </c>
      <c r="K10" s="5">
        <f>IF(C10="","",IFERROR(J10/E10,0))</f>
        <v/>
      </c>
      <c r="L10" s="4">
        <f>IF(C10="","",IF(K10&gt;=1,"Đủ công",IF(K10&gt;=0.9,"Khá","Cần xem lại")))</f>
        <v/>
      </c>
    </row>
    <row r="11">
      <c r="A11" s="2" t="n"/>
      <c r="B11" s="3" t="n"/>
      <c r="C11" s="3" t="n"/>
      <c r="D11" s="3" t="n"/>
      <c r="E11" s="2" t="n"/>
      <c r="F11" s="2" t="n"/>
      <c r="G11" s="2" t="n"/>
      <c r="H11" s="2" t="n"/>
      <c r="I11" s="2" t="n"/>
      <c r="J11" s="4">
        <f>IF(C11="","",F11+G11)</f>
        <v/>
      </c>
      <c r="K11" s="5">
        <f>IF(C11="","",IFERROR(J11/E11,0))</f>
        <v/>
      </c>
      <c r="L11" s="4">
        <f>IF(C11="","",IF(K11&gt;=1,"Đủ công",IF(K11&gt;=0.9,"Khá","Cần xem lại")))</f>
        <v/>
      </c>
    </row>
    <row r="12">
      <c r="A12" s="2" t="n"/>
      <c r="B12" s="3" t="n"/>
      <c r="C12" s="3" t="n"/>
      <c r="D12" s="3" t="n"/>
      <c r="E12" s="2" t="n"/>
      <c r="F12" s="2" t="n"/>
      <c r="G12" s="2" t="n"/>
      <c r="H12" s="2" t="n"/>
      <c r="I12" s="2" t="n"/>
      <c r="J12" s="4">
        <f>IF(C12="","",F12+G12)</f>
        <v/>
      </c>
      <c r="K12" s="5">
        <f>IF(C12="","",IFERROR(J12/E12,0))</f>
        <v/>
      </c>
      <c r="L12" s="4">
        <f>IF(C12="","",IF(K12&gt;=1,"Đủ công",IF(K12&gt;=0.9,"Khá","Cần xem lại")))</f>
        <v/>
      </c>
    </row>
    <row r="13">
      <c r="A13" s="2" t="n"/>
      <c r="B13" s="3" t="n"/>
      <c r="C13" s="3" t="n"/>
      <c r="D13" s="3" t="n"/>
      <c r="E13" s="2" t="n"/>
      <c r="F13" s="2" t="n"/>
      <c r="G13" s="2" t="n"/>
      <c r="H13" s="2" t="n"/>
      <c r="I13" s="2" t="n"/>
      <c r="J13" s="4">
        <f>IF(C13="","",F13+G13)</f>
        <v/>
      </c>
      <c r="K13" s="5">
        <f>IF(C13="","",IFERROR(J13/E13,0))</f>
        <v/>
      </c>
      <c r="L13" s="4">
        <f>IF(C13="","",IF(K13&gt;=1,"Đủ công",IF(K13&gt;=0.9,"Khá","Cần xem lại")))</f>
        <v/>
      </c>
    </row>
    <row r="14">
      <c r="A14" s="2" t="n"/>
      <c r="B14" s="3" t="n"/>
      <c r="C14" s="3" t="n"/>
      <c r="D14" s="3" t="n"/>
      <c r="E14" s="2" t="n"/>
      <c r="F14" s="2" t="n"/>
      <c r="G14" s="2" t="n"/>
      <c r="H14" s="2" t="n"/>
      <c r="I14" s="2" t="n"/>
      <c r="J14" s="4">
        <f>IF(C14="","",F14+G14)</f>
        <v/>
      </c>
      <c r="K14" s="5">
        <f>IF(C14="","",IFERROR(J14/E14,0))</f>
        <v/>
      </c>
      <c r="L14" s="4">
        <f>IF(C14="","",IF(K14&gt;=1,"Đủ công",IF(K14&gt;=0.9,"Khá","Cần xem lại")))</f>
        <v/>
      </c>
    </row>
    <row r="15">
      <c r="A15" s="2" t="n"/>
      <c r="B15" s="3" t="n"/>
      <c r="C15" s="3" t="n"/>
      <c r="D15" s="3" t="n"/>
      <c r="E15" s="2" t="n"/>
      <c r="F15" s="2" t="n"/>
      <c r="G15" s="2" t="n"/>
      <c r="H15" s="2" t="n"/>
      <c r="I15" s="2" t="n"/>
      <c r="J15" s="4">
        <f>IF(C15="","",F15+G15)</f>
        <v/>
      </c>
      <c r="K15" s="5">
        <f>IF(C15="","",IFERROR(J15/E15,0))</f>
        <v/>
      </c>
      <c r="L15" s="4">
        <f>IF(C15="","",IF(K15&gt;=1,"Đủ công",IF(K15&gt;=0.9,"Khá","Cần xem lại")))</f>
        <v/>
      </c>
    </row>
    <row r="16">
      <c r="A16" s="2" t="n"/>
      <c r="B16" s="3" t="n"/>
      <c r="C16" s="3" t="n"/>
      <c r="D16" s="3" t="n"/>
      <c r="E16" s="2" t="n"/>
      <c r="F16" s="2" t="n"/>
      <c r="G16" s="2" t="n"/>
      <c r="H16" s="2" t="n"/>
      <c r="I16" s="2" t="n"/>
      <c r="J16" s="4">
        <f>IF(C16="","",F16+G16)</f>
        <v/>
      </c>
      <c r="K16" s="5">
        <f>IF(C16="","",IFERROR(J16/E16,0))</f>
        <v/>
      </c>
      <c r="L16" s="4">
        <f>IF(C16="","",IF(K16&gt;=1,"Đủ công",IF(K16&gt;=0.9,"Khá","Cần xem lại")))</f>
        <v/>
      </c>
    </row>
    <row r="17">
      <c r="A17" s="2" t="n"/>
      <c r="B17" s="3" t="n"/>
      <c r="C17" s="3" t="n"/>
      <c r="D17" s="3" t="n"/>
      <c r="E17" s="2" t="n"/>
      <c r="F17" s="2" t="n"/>
      <c r="G17" s="2" t="n"/>
      <c r="H17" s="2" t="n"/>
      <c r="I17" s="2" t="n"/>
      <c r="J17" s="4">
        <f>IF(C17="","",F17+G17)</f>
        <v/>
      </c>
      <c r="K17" s="5">
        <f>IF(C17="","",IFERROR(J17/E17,0))</f>
        <v/>
      </c>
      <c r="L17" s="4">
        <f>IF(C17="","",IF(K17&gt;=1,"Đủ công",IF(K17&gt;=0.9,"Khá","Cần xem lại")))</f>
        <v/>
      </c>
    </row>
    <row r="18">
      <c r="A18" s="2" t="n"/>
      <c r="B18" s="3" t="n"/>
      <c r="C18" s="3" t="n"/>
      <c r="D18" s="3" t="n"/>
      <c r="E18" s="2" t="n"/>
      <c r="F18" s="2" t="n"/>
      <c r="G18" s="2" t="n"/>
      <c r="H18" s="2" t="n"/>
      <c r="I18" s="2" t="n"/>
      <c r="J18" s="4">
        <f>IF(C18="","",F18+G18)</f>
        <v/>
      </c>
      <c r="K18" s="5">
        <f>IF(C18="","",IFERROR(J18/E18,0))</f>
        <v/>
      </c>
      <c r="L18" s="4">
        <f>IF(C18="","",IF(K18&gt;=1,"Đủ công",IF(K18&gt;=0.9,"Khá","Cần xem lại")))</f>
        <v/>
      </c>
    </row>
    <row r="19">
      <c r="A19" s="2" t="n"/>
      <c r="B19" s="3" t="n"/>
      <c r="C19" s="3" t="n"/>
      <c r="D19" s="3" t="n"/>
      <c r="E19" s="2" t="n"/>
      <c r="F19" s="2" t="n"/>
      <c r="G19" s="2" t="n"/>
      <c r="H19" s="2" t="n"/>
      <c r="I19" s="2" t="n"/>
      <c r="J19" s="4">
        <f>IF(C19="","",F19+G19)</f>
        <v/>
      </c>
      <c r="K19" s="5">
        <f>IF(C19="","",IFERROR(J19/E19,0))</f>
        <v/>
      </c>
      <c r="L19" s="4">
        <f>IF(C19="","",IF(K19&gt;=1,"Đủ công",IF(K19&gt;=0.9,"Khá","Cần xem lại")))</f>
        <v/>
      </c>
    </row>
    <row r="20">
      <c r="A20" s="2" t="n"/>
      <c r="B20" s="3" t="n"/>
      <c r="C20" s="3" t="n"/>
      <c r="D20" s="3" t="n"/>
      <c r="E20" s="2" t="n"/>
      <c r="F20" s="2" t="n"/>
      <c r="G20" s="2" t="n"/>
      <c r="H20" s="2" t="n"/>
      <c r="I20" s="2" t="n"/>
      <c r="J20" s="4">
        <f>IF(C20="","",F20+G20)</f>
        <v/>
      </c>
      <c r="K20" s="5">
        <f>IF(C20="","",IFERROR(J20/E20,0))</f>
        <v/>
      </c>
      <c r="L20" s="4">
        <f>IF(C20="","",IF(K20&gt;=1,"Đủ công",IF(K20&gt;=0.9,"Khá","Cần xem lại")))</f>
        <v/>
      </c>
    </row>
    <row r="21">
      <c r="A21" s="2" t="n"/>
      <c r="B21" s="3" t="n"/>
      <c r="C21" s="3" t="n"/>
      <c r="D21" s="3" t="n"/>
      <c r="E21" s="2" t="n"/>
      <c r="F21" s="2" t="n"/>
      <c r="G21" s="2" t="n"/>
      <c r="H21" s="2" t="n"/>
      <c r="I21" s="2" t="n"/>
      <c r="J21" s="4">
        <f>IF(C21="","",F21+G21)</f>
        <v/>
      </c>
      <c r="K21" s="5">
        <f>IF(C21="","",IFERROR(J21/E21,0))</f>
        <v/>
      </c>
      <c r="L21" s="4">
        <f>IF(C21="","",IF(K21&gt;=1,"Đủ công",IF(K21&gt;=0.9,"Khá","Cần xem lại")))</f>
        <v/>
      </c>
    </row>
    <row r="22">
      <c r="A22" s="2" t="n"/>
      <c r="B22" s="3" t="n"/>
      <c r="C22" s="3" t="n"/>
      <c r="D22" s="3" t="n"/>
      <c r="E22" s="2" t="n"/>
      <c r="F22" s="2" t="n"/>
      <c r="G22" s="2" t="n"/>
      <c r="H22" s="2" t="n"/>
      <c r="I22" s="2" t="n"/>
      <c r="J22" s="4">
        <f>IF(C22="","",F22+G22)</f>
        <v/>
      </c>
      <c r="K22" s="5">
        <f>IF(C22="","",IFERROR(J22/E22,0))</f>
        <v/>
      </c>
      <c r="L22" s="4">
        <f>IF(C22="","",IF(K22&gt;=1,"Đủ công",IF(K22&gt;=0.9,"Khá","Cần xem lại")))</f>
        <v/>
      </c>
    </row>
    <row r="23">
      <c r="A23" s="2" t="n"/>
      <c r="B23" s="3" t="n"/>
      <c r="C23" s="3" t="n"/>
      <c r="D23" s="3" t="n"/>
      <c r="E23" s="2" t="n"/>
      <c r="F23" s="2" t="n"/>
      <c r="G23" s="2" t="n"/>
      <c r="H23" s="2" t="n"/>
      <c r="I23" s="2" t="n"/>
      <c r="J23" s="4">
        <f>IF(C23="","",F23+G23)</f>
        <v/>
      </c>
      <c r="K23" s="5">
        <f>IF(C23="","",IFERROR(J23/E23,0))</f>
        <v/>
      </c>
      <c r="L23" s="4">
        <f>IF(C23="","",IF(K23&gt;=1,"Đủ công",IF(K23&gt;=0.9,"Khá","Cần xem lại")))</f>
        <v/>
      </c>
    </row>
    <row r="24">
      <c r="A24" s="2" t="n"/>
      <c r="B24" s="3" t="n"/>
      <c r="C24" s="3" t="n"/>
      <c r="D24" s="3" t="n"/>
      <c r="E24" s="2" t="n"/>
      <c r="F24" s="2" t="n"/>
      <c r="G24" s="2" t="n"/>
      <c r="H24" s="2" t="n"/>
      <c r="I24" s="2" t="n"/>
      <c r="J24" s="4">
        <f>IF(C24="","",F24+G24)</f>
        <v/>
      </c>
      <c r="K24" s="5">
        <f>IF(C24="","",IFERROR(J24/E24,0))</f>
        <v/>
      </c>
      <c r="L24" s="4">
        <f>IF(C24="","",IF(K24&gt;=1,"Đủ công",IF(K24&gt;=0.9,"Khá","Cần xem lại")))</f>
        <v/>
      </c>
    </row>
    <row r="25">
      <c r="A25" s="2" t="n"/>
      <c r="B25" s="3" t="n"/>
      <c r="C25" s="3" t="n"/>
      <c r="D25" s="3" t="n"/>
      <c r="E25" s="2" t="n"/>
      <c r="F25" s="2" t="n"/>
      <c r="G25" s="2" t="n"/>
      <c r="H25" s="2" t="n"/>
      <c r="I25" s="2" t="n"/>
      <c r="J25" s="4">
        <f>IF(C25="","",F25+G25)</f>
        <v/>
      </c>
      <c r="K25" s="5">
        <f>IF(C25="","",IFERROR(J25/E25,0))</f>
        <v/>
      </c>
      <c r="L25" s="4">
        <f>IF(C25="","",IF(K25&gt;=1,"Đủ công",IF(K25&gt;=0.9,"Khá","Cần xem lại")))</f>
        <v/>
      </c>
    </row>
  </sheetData>
  <autoFilter ref="A1:L25"/>
  <dataValidations count="6">
    <dataValidation sqref="D2:D25" showDropDown="0" showInputMessage="0" showErrorMessage="0" allowBlank="1" errorTitle="Sai định dạng" error="Giá trị không hợp lệ cho cột này." type="list">
      <formula1>"Kinh doanh,Kế toán,Nhân sự,Kỹ thuật,Kho vận"</formula1>
    </dataValidation>
    <dataValidation sqref="E2:E25" showDropDown="0" showInputMessage="0" showErrorMessage="0" allowBlank="1" errorTitle="Sai định dạng" error="Giá trị không hợp lệ cho cột này." type="decimal" operator="between">
      <formula1>0</formula1>
      <formula2>31</formula2>
    </dataValidation>
    <dataValidation sqref="F2:F25" showDropDown="0" showInputMessage="0" showErrorMessage="0" allowBlank="1" errorTitle="Sai định dạng" error="Giá trị không hợp lệ cho cột này." type="decimal" operator="between">
      <formula1>0</formula1>
      <formula2>31</formula2>
    </dataValidation>
    <dataValidation sqref="G2:G25" showDropDown="0" showInputMessage="0" showErrorMessage="0" allowBlank="1" errorTitle="Sai định dạng" error="Giá trị không hợp lệ cho cột này." type="decimal" operator="between">
      <formula1>0</formula1>
      <formula2>31</formula2>
    </dataValidation>
    <dataValidation sqref="H2:H25" showDropDown="0" showInputMessage="0" showErrorMessage="0" allowBlank="1" errorTitle="Sai định dạng" error="Giá trị không hợp lệ cho cột này." type="decimal" operator="between">
      <formula1>0</formula1>
      <formula2>31</formula2>
    </dataValidation>
    <dataValidation sqref="I2:I25" showDropDown="0" showInputMessage="0" showErrorMessage="0" allowBlank="1" errorTitle="Sai định dạng" error="Giá trị không hợp lệ cho cột này." type="decimal" operator="between">
      <formula1>0</formula1>
      <formula2>200</formula2>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B1:B22"/>
  <sheetViews>
    <sheetView workbookViewId="0">
      <selection activeCell="A1" sqref="A1"/>
    </sheetView>
  </sheetViews>
  <sheetFormatPr baseColWidth="8" defaultRowHeight="15"/>
  <cols>
    <col width="4" customWidth="1" min="1" max="1"/>
    <col width="100" customWidth="1" min="2" max="2"/>
  </cols>
  <sheetData>
    <row r="1">
      <c r="B1" s="6" t="inlineStr">
        <is>
          <t>Mẫu Excel bảng chấm công nhân viên theo tháng (có sẵn công thức)</t>
        </is>
      </c>
    </row>
    <row r="2">
      <c r="B2" s="7" t="inlineStr"/>
    </row>
    <row r="3">
      <c r="B3" s="8" t="inlineStr">
        <is>
          <t>CÁCH DÙNG</t>
        </is>
      </c>
    </row>
    <row r="4">
      <c r="B4" s="9" t="inlineStr">
        <is>
          <t>1. Nhập công chuẩn của tháng</t>
        </is>
      </c>
    </row>
    <row r="5">
      <c r="B5" s="7" t="inlineStr">
        <is>
          <t xml:space="preserve">   Cột Công chuẩn là số ngày làm việc theo quy định của tháng đó, ví dụ 26 ngày. Nhập đúng số này thì tỷ lệ chuyên cần mới chính xác.</t>
        </is>
      </c>
    </row>
    <row r="6">
      <c r="B6" s="9" t="inlineStr">
        <is>
          <t>2. Nhập danh sách nhân viên</t>
        </is>
      </c>
    </row>
    <row r="7">
      <c r="B7" s="7" t="inlineStr">
        <is>
          <t xml:space="preserve">   Điền mã nhân viên, họ tên và chọn bộ phận từ danh sách sổ xuống. Bộ phận dùng danh sách cố định để về sau lọc và cộng theo phòng ban không bị lệch do gõ sai chính tả.</t>
        </is>
      </c>
    </row>
    <row r="8">
      <c r="B8" s="9" t="inlineStr">
        <is>
          <t>3. Nhập số liệu chấm công</t>
        </is>
      </c>
    </row>
    <row r="9">
      <c r="B9" s="7" t="inlineStr">
        <is>
          <t xml:space="preserve">   Điền ngày công thực tế, ngày nghỉ phép, nghỉ không lương và giờ tăng ca. Ba cột cuối cùng sẽ tự tính, bạn không cần gõ gì vào đó.</t>
        </is>
      </c>
    </row>
    <row r="10">
      <c r="B10" s="9" t="inlineStr">
        <is>
          <t>4. Thêm nhân viên mới</t>
        </is>
      </c>
    </row>
    <row r="11">
      <c r="B11" s="7" t="inlineStr">
        <is>
          <t xml:space="preserve">   Nhập tiếp vào các dòng trống bên dưới, công thức đã được cài sẵn nên sẽ tự chạy. Nếu hết dòng trống, bôi đen dòng cuối rồi kéo thả nút vuông nhỏ ở góc dưới bên phải xuống thêm.</t>
        </is>
      </c>
    </row>
    <row r="12">
      <c r="B12" s="7" t="inlineStr"/>
    </row>
    <row r="13">
      <c r="B13" s="8" t="inlineStr">
        <is>
          <t>CÔNG THỨC TRONG FILE</t>
        </is>
      </c>
    </row>
    <row r="14">
      <c r="B14" s="9" t="inlineStr">
        <is>
          <t>Tổng công hưởng lương  —  =IF(C2="","",F2+G2)</t>
        </is>
      </c>
    </row>
    <row r="15">
      <c r="B15" s="7" t="inlineStr">
        <is>
          <t xml:space="preserve">   Cộng ngày công thực tế với ngày nghỉ phép, vì nghỉ phép năm vẫn được hưởng lương. Hàm IF ở ngoài để dòng chưa có tên nhân viên thì để trống thay vì hiện số 0.</t>
        </is>
      </c>
    </row>
    <row r="16">
      <c r="B16" s="9" t="inlineStr">
        <is>
          <t>Tỷ lệ chuyên cần  —  =IF(C2="","",IFERROR(J2/E2,0))</t>
        </is>
      </c>
    </row>
    <row r="17">
      <c r="B17" s="7" t="inlineStr">
        <is>
          <t xml:space="preserve">   Lấy tổng công hưởng lương chia cho công chuẩn của tháng. Bọc IFERROR để khi cột Công chuẩn còn trống thì trả về 0 thay vì báo lỗi #DIV/0!.</t>
        </is>
      </c>
    </row>
    <row r="18">
      <c r="B18" s="9" t="inlineStr">
        <is>
          <t>Xếp loại  —  =IF(C2="","",IF(K2&gt;=1,"Đủ công",IF(K2&gt;=0.9,"Khá","Cần xem lại")))</t>
        </is>
      </c>
    </row>
    <row r="19">
      <c r="B19" s="7" t="inlineStr">
        <is>
          <t xml:space="preserve">   Hai hàm IF lồng nhau: từ 100% trở lên là Đủ công, từ 90% đến dưới 100% là Khá, còn lại là Cần xem lại. Đổi ngưỡng bằng cách sửa hai số 1 và 0.9.</t>
        </is>
      </c>
    </row>
    <row r="20">
      <c r="B20" s="7" t="inlineStr"/>
    </row>
    <row r="21">
      <c r="B21" s="9" t="inlineStr">
        <is>
          <t>Bản cập nhật mới nhất và hướng dẫn chi tiết:</t>
        </is>
      </c>
    </row>
    <row r="22">
      <c r="B22" s="10" t="inlineStr">
        <is>
          <t>https://excel.nguyenvietloc.com/mau-excel/nhan-su/bang-cham-cong-nhan-vien</t>
        </is>
      </c>
    </row>
  </sheetData>
  <hyperlinks>
    <hyperlink xmlns:r="http://schemas.openxmlformats.org/officeDocument/2006/relationships" ref="B2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2026-08-10T14:33:15Z</dcterms:created>
  <dcterms:modified xsi:type="dcterms:W3CDTF">2026-08-10T14:33:15Z</dcterms:modified>
</cp:coreProperties>
</file>