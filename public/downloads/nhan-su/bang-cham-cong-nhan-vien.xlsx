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ấm công" sheetId="1" state="visible" r:id="rId1"/>
    <sheet name="Hướng dẫn" sheetId="2" state="visible" r:id="rId2"/>
  </sheets>
  <definedNames>
    <definedName name="_xlnm._FilterDatabase" localSheetId="0" hidden="1">'Chấm công'!$A$1:$L$25</definedName>
  </definedNames>
  <calcPr calcId="124519" fullCalcOnLoad="1"/>
</workbook>
</file>

<file path=xl/styles.xml><?xml version="1.0" encoding="utf-8"?>
<styleSheet xmlns="http://schemas.openxmlformats.org/spreadsheetml/2006/main">
  <numFmts count="2">
    <numFmt numFmtId="164" formatCode="#,##0.##"/>
    <numFmt numFmtId="165" formatCode="0.0%"/>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4" fontId="0" fillId="3" borderId="1" pivotButton="0" quotePrefix="0" xfId="0"/>
    <xf numFmtId="165"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nhan-su/bang-cham-cong-nhan-vien" TargetMode="External" Id="rId1" /></Relationships>
</file>

<file path=xl/worksheets/sheet1.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4" customWidth="1" min="3" max="3"/>
    <col width="18" customWidth="1" min="4" max="4"/>
    <col width="12" customWidth="1" min="5" max="5"/>
    <col width="16" customWidth="1" min="6" max="6"/>
    <col width="12" customWidth="1" min="7" max="7"/>
    <col width="16" customWidth="1" min="8" max="8"/>
    <col width="12" customWidth="1" min="9" max="9"/>
    <col width="18" customWidth="1" min="10" max="10"/>
    <col width="16" customWidth="1" min="11" max="11"/>
    <col width="16" customWidth="1" min="12" max="12"/>
  </cols>
  <sheetData>
    <row r="1" ht="32" customHeight="1">
      <c r="A1" s="1" t="inlineStr">
        <is>
          <t>STT</t>
        </is>
      </c>
      <c r="B1" s="1" t="inlineStr">
        <is>
          <t>Mã NV</t>
        </is>
      </c>
      <c r="C1" s="1" t="inlineStr">
        <is>
          <t>Họ và tên</t>
        </is>
      </c>
      <c r="D1" s="1" t="inlineStr">
        <is>
          <t>Bộ phận</t>
        </is>
      </c>
      <c r="E1" s="1" t="inlineStr">
        <is>
          <t>Công chuẩn</t>
        </is>
      </c>
      <c r="F1" s="1" t="inlineStr">
        <is>
          <t>Ngày công thực tế</t>
        </is>
      </c>
      <c r="G1" s="1" t="inlineStr">
        <is>
          <t>Nghỉ phép</t>
        </is>
      </c>
      <c r="H1" s="1" t="inlineStr">
        <is>
          <t>Nghỉ không lương</t>
        </is>
      </c>
      <c r="I1" s="1" t="inlineStr">
        <is>
          <t>Giờ tăng ca</t>
        </is>
      </c>
      <c r="J1" s="1" t="inlineStr">
        <is>
          <t>Tổng công hưởng lương</t>
        </is>
      </c>
      <c r="K1" s="1" t="inlineStr">
        <is>
          <t>Tỷ lệ chuyên cần</t>
        </is>
      </c>
      <c r="L1" s="1" t="inlineStr">
        <is>
          <t>Xếp loại</t>
        </is>
      </c>
    </row>
    <row r="2">
      <c r="A2" s="2" t="n">
        <v>1</v>
      </c>
      <c r="B2" s="3" t="inlineStr">
        <is>
          <t>NV001</t>
        </is>
      </c>
      <c r="C2" s="3" t="inlineStr">
        <is>
          <t>Nguyễn Thị Mai</t>
        </is>
      </c>
      <c r="D2" s="3" t="inlineStr">
        <is>
          <t>Kinh doanh</t>
        </is>
      </c>
      <c r="E2" s="2" t="n">
        <v>26</v>
      </c>
      <c r="F2" s="2" t="n">
        <v>24</v>
      </c>
      <c r="G2" s="2" t="n">
        <v>2</v>
      </c>
      <c r="H2" s="2" t="n">
        <v>0</v>
      </c>
      <c r="I2" s="2" t="n">
        <v>8</v>
      </c>
      <c r="J2" s="4">
        <f>IF(C2="","",F2+G2)</f>
        <v/>
      </c>
      <c r="K2" s="5">
        <f>IF(C2="","",IFERROR(J2/E2,0))</f>
        <v/>
      </c>
      <c r="L2" s="4">
        <f>IF(C2="","",IF(K2&gt;=1,"Đủ công",IF(K2&gt;=0.9,"Khá","Cần xem lại")))</f>
        <v/>
      </c>
    </row>
    <row r="3">
      <c r="A3" s="2" t="n">
        <v>2</v>
      </c>
      <c r="B3" s="3" t="inlineStr">
        <is>
          <t>NV002</t>
        </is>
      </c>
      <c r="C3" s="3" t="inlineStr">
        <is>
          <t>Trần Văn Hùng</t>
        </is>
      </c>
      <c r="D3" s="3" t="inlineStr">
        <is>
          <t>Kỹ thuật</t>
        </is>
      </c>
      <c r="E3" s="2" t="n">
        <v>26</v>
      </c>
      <c r="F3" s="2" t="n">
        <v>26</v>
      </c>
      <c r="G3" s="2" t="n">
        <v>0</v>
      </c>
      <c r="H3" s="2" t="n">
        <v>0</v>
      </c>
      <c r="I3" s="2" t="n">
        <v>12</v>
      </c>
      <c r="J3" s="4">
        <f>IF(C3="","",F3+G3)</f>
        <v/>
      </c>
      <c r="K3" s="5">
        <f>IF(C3="","",IFERROR(J3/E3,0))</f>
        <v/>
      </c>
      <c r="L3" s="4">
        <f>IF(C3="","",IF(K3&gt;=1,"Đủ công",IF(K3&gt;=0.9,"Khá","Cần xem lại")))</f>
        <v/>
      </c>
    </row>
    <row r="4">
      <c r="A4" s="2" t="n">
        <v>3</v>
      </c>
      <c r="B4" s="3" t="inlineStr">
        <is>
          <t>NV003</t>
        </is>
      </c>
      <c r="C4" s="3" t="inlineStr">
        <is>
          <t>Lê Thu Hà</t>
        </is>
      </c>
      <c r="D4" s="3" t="inlineStr">
        <is>
          <t>Kế toán</t>
        </is>
      </c>
      <c r="E4" s="2" t="n">
        <v>26</v>
      </c>
      <c r="F4" s="2" t="n">
        <v>21</v>
      </c>
      <c r="G4" s="2" t="n">
        <v>1</v>
      </c>
      <c r="H4" s="2" t="n">
        <v>4</v>
      </c>
      <c r="I4" s="2" t="n">
        <v>0</v>
      </c>
      <c r="J4" s="4">
        <f>IF(C4="","",F4+G4)</f>
        <v/>
      </c>
      <c r="K4" s="5">
        <f>IF(C4="","",IFERROR(J4/E4,0))</f>
        <v/>
      </c>
      <c r="L4" s="4">
        <f>IF(C4="","",IF(K4&gt;=1,"Đủ công",IF(K4&gt;=0.9,"Khá","Cần xem lại")))</f>
        <v/>
      </c>
    </row>
    <row r="5">
      <c r="A5" s="2" t="n">
        <v>4</v>
      </c>
      <c r="B5" s="3" t="inlineStr">
        <is>
          <t>NV004</t>
        </is>
      </c>
      <c r="C5" s="3" t="inlineStr">
        <is>
          <t>Phạm Minh Đức</t>
        </is>
      </c>
      <c r="D5" s="3" t="inlineStr">
        <is>
          <t>Kho vận</t>
        </is>
      </c>
      <c r="E5" s="2" t="n">
        <v>26</v>
      </c>
      <c r="F5" s="2" t="n">
        <v>25</v>
      </c>
      <c r="G5" s="2" t="n">
        <v>0</v>
      </c>
      <c r="H5" s="2" t="n">
        <v>1</v>
      </c>
      <c r="I5" s="2" t="n">
        <v>16</v>
      </c>
      <c r="J5" s="4">
        <f>IF(C5="","",F5+G5)</f>
        <v/>
      </c>
      <c r="K5" s="5">
        <f>IF(C5="","",IFERROR(J5/E5,0))</f>
        <v/>
      </c>
      <c r="L5" s="4">
        <f>IF(C5="","",IF(K5&gt;=1,"Đủ công",IF(K5&gt;=0.9,"Khá","Cần xem lại")))</f>
        <v/>
      </c>
    </row>
    <row r="6">
      <c r="A6" s="2" t="n"/>
      <c r="B6" s="3" t="n"/>
      <c r="C6" s="3" t="n"/>
      <c r="D6" s="3" t="n"/>
      <c r="E6" s="2" t="n"/>
      <c r="F6" s="2" t="n"/>
      <c r="G6" s="2" t="n"/>
      <c r="H6" s="2" t="n"/>
      <c r="I6" s="2" t="n"/>
      <c r="J6" s="4">
        <f>IF(C6="","",F6+G6)</f>
        <v/>
      </c>
      <c r="K6" s="5">
        <f>IF(C6="","",IFERROR(J6/E6,0))</f>
        <v/>
      </c>
      <c r="L6" s="4">
        <f>IF(C6="","",IF(K6&gt;=1,"Đủ công",IF(K6&gt;=0.9,"Khá","Cần xem lại")))</f>
        <v/>
      </c>
    </row>
    <row r="7">
      <c r="A7" s="2" t="n"/>
      <c r="B7" s="3" t="n"/>
      <c r="C7" s="3" t="n"/>
      <c r="D7" s="3" t="n"/>
      <c r="E7" s="2" t="n"/>
      <c r="F7" s="2" t="n"/>
      <c r="G7" s="2" t="n"/>
      <c r="H7" s="2" t="n"/>
      <c r="I7" s="2" t="n"/>
      <c r="J7" s="4">
        <f>IF(C7="","",F7+G7)</f>
        <v/>
      </c>
      <c r="K7" s="5">
        <f>IF(C7="","",IFERROR(J7/E7,0))</f>
        <v/>
      </c>
      <c r="L7" s="4">
        <f>IF(C7="","",IF(K7&gt;=1,"Đủ công",IF(K7&gt;=0.9,"Khá","Cần xem lại")))</f>
        <v/>
      </c>
    </row>
    <row r="8">
      <c r="A8" s="2" t="n"/>
      <c r="B8" s="3" t="n"/>
      <c r="C8" s="3" t="n"/>
      <c r="D8" s="3" t="n"/>
      <c r="E8" s="2" t="n"/>
      <c r="F8" s="2" t="n"/>
      <c r="G8" s="2" t="n"/>
      <c r="H8" s="2" t="n"/>
      <c r="I8" s="2" t="n"/>
      <c r="J8" s="4">
        <f>IF(C8="","",F8+G8)</f>
        <v/>
      </c>
      <c r="K8" s="5">
        <f>IF(C8="","",IFERROR(J8/E8,0))</f>
        <v/>
      </c>
      <c r="L8" s="4">
        <f>IF(C8="","",IF(K8&gt;=1,"Đủ công",IF(K8&gt;=0.9,"Khá","Cần xem lại")))</f>
        <v/>
      </c>
    </row>
    <row r="9">
      <c r="A9" s="2" t="n"/>
      <c r="B9" s="3" t="n"/>
      <c r="C9" s="3" t="n"/>
      <c r="D9" s="3" t="n"/>
      <c r="E9" s="2" t="n"/>
      <c r="F9" s="2" t="n"/>
      <c r="G9" s="2" t="n"/>
      <c r="H9" s="2" t="n"/>
      <c r="I9" s="2" t="n"/>
      <c r="J9" s="4">
        <f>IF(C9="","",F9+G9)</f>
        <v/>
      </c>
      <c r="K9" s="5">
        <f>IF(C9="","",IFERROR(J9/E9,0))</f>
        <v/>
      </c>
      <c r="L9" s="4">
        <f>IF(C9="","",IF(K9&gt;=1,"Đủ công",IF(K9&gt;=0.9,"Khá","Cần xem lại")))</f>
        <v/>
      </c>
    </row>
    <row r="10">
      <c r="A10" s="2" t="n"/>
      <c r="B10" s="3" t="n"/>
      <c r="C10" s="3" t="n"/>
      <c r="D10" s="3" t="n"/>
      <c r="E10" s="2" t="n"/>
      <c r="F10" s="2" t="n"/>
      <c r="G10" s="2" t="n"/>
      <c r="H10" s="2" t="n"/>
      <c r="I10" s="2" t="n"/>
      <c r="J10" s="4">
        <f>IF(C10="","",F10+G10)</f>
        <v/>
      </c>
      <c r="K10" s="5">
        <f>IF(C10="","",IFERROR(J10/E10,0))</f>
        <v/>
      </c>
      <c r="L10" s="4">
        <f>IF(C10="","",IF(K10&gt;=1,"Đủ công",IF(K10&gt;=0.9,"Khá","Cần xem lại")))</f>
        <v/>
      </c>
    </row>
    <row r="11">
      <c r="A11" s="2" t="n"/>
      <c r="B11" s="3" t="n"/>
      <c r="C11" s="3" t="n"/>
      <c r="D11" s="3" t="n"/>
      <c r="E11" s="2" t="n"/>
      <c r="F11" s="2" t="n"/>
      <c r="G11" s="2" t="n"/>
      <c r="H11" s="2" t="n"/>
      <c r="I11" s="2" t="n"/>
      <c r="J11" s="4">
        <f>IF(C11="","",F11+G11)</f>
        <v/>
      </c>
      <c r="K11" s="5">
        <f>IF(C11="","",IFERROR(J11/E11,0))</f>
        <v/>
      </c>
      <c r="L11" s="4">
        <f>IF(C11="","",IF(K11&gt;=1,"Đủ công",IF(K11&gt;=0.9,"Khá","Cần xem lại")))</f>
        <v/>
      </c>
    </row>
    <row r="12">
      <c r="A12" s="2" t="n"/>
      <c r="B12" s="3" t="n"/>
      <c r="C12" s="3" t="n"/>
      <c r="D12" s="3" t="n"/>
      <c r="E12" s="2" t="n"/>
      <c r="F12" s="2" t="n"/>
      <c r="G12" s="2" t="n"/>
      <c r="H12" s="2" t="n"/>
      <c r="I12" s="2" t="n"/>
      <c r="J12" s="4">
        <f>IF(C12="","",F12+G12)</f>
        <v/>
      </c>
      <c r="K12" s="5">
        <f>IF(C12="","",IFERROR(J12/E12,0))</f>
        <v/>
      </c>
      <c r="L12" s="4">
        <f>IF(C12="","",IF(K12&gt;=1,"Đủ công",IF(K12&gt;=0.9,"Khá","Cần xem lại")))</f>
        <v/>
      </c>
    </row>
    <row r="13">
      <c r="A13" s="2" t="n"/>
      <c r="B13" s="3" t="n"/>
      <c r="C13" s="3" t="n"/>
      <c r="D13" s="3" t="n"/>
      <c r="E13" s="2" t="n"/>
      <c r="F13" s="2" t="n"/>
      <c r="G13" s="2" t="n"/>
      <c r="H13" s="2" t="n"/>
      <c r="I13" s="2" t="n"/>
      <c r="J13" s="4">
        <f>IF(C13="","",F13+G13)</f>
        <v/>
      </c>
      <c r="K13" s="5">
        <f>IF(C13="","",IFERROR(J13/E13,0))</f>
        <v/>
      </c>
      <c r="L13" s="4">
        <f>IF(C13="","",IF(K13&gt;=1,"Đủ công",IF(K13&gt;=0.9,"Khá","Cần xem lại")))</f>
        <v/>
      </c>
    </row>
    <row r="14">
      <c r="A14" s="2" t="n"/>
      <c r="B14" s="3" t="n"/>
      <c r="C14" s="3" t="n"/>
      <c r="D14" s="3" t="n"/>
      <c r="E14" s="2" t="n"/>
      <c r="F14" s="2" t="n"/>
      <c r="G14" s="2" t="n"/>
      <c r="H14" s="2" t="n"/>
      <c r="I14" s="2" t="n"/>
      <c r="J14" s="4">
        <f>IF(C14="","",F14+G14)</f>
        <v/>
      </c>
      <c r="K14" s="5">
        <f>IF(C14="","",IFERROR(J14/E14,0))</f>
        <v/>
      </c>
      <c r="L14" s="4">
        <f>IF(C14="","",IF(K14&gt;=1,"Đủ công",IF(K14&gt;=0.9,"Khá","Cần xem lại")))</f>
        <v/>
      </c>
    </row>
    <row r="15">
      <c r="A15" s="2" t="n"/>
      <c r="B15" s="3" t="n"/>
      <c r="C15" s="3" t="n"/>
      <c r="D15" s="3" t="n"/>
      <c r="E15" s="2" t="n"/>
      <c r="F15" s="2" t="n"/>
      <c r="G15" s="2" t="n"/>
      <c r="H15" s="2" t="n"/>
      <c r="I15" s="2" t="n"/>
      <c r="J15" s="4">
        <f>IF(C15="","",F15+G15)</f>
        <v/>
      </c>
      <c r="K15" s="5">
        <f>IF(C15="","",IFERROR(J15/E15,0))</f>
        <v/>
      </c>
      <c r="L15" s="4">
        <f>IF(C15="","",IF(K15&gt;=1,"Đủ công",IF(K15&gt;=0.9,"Khá","Cần xem lại")))</f>
        <v/>
      </c>
    </row>
    <row r="16">
      <c r="A16" s="2" t="n"/>
      <c r="B16" s="3" t="n"/>
      <c r="C16" s="3" t="n"/>
      <c r="D16" s="3" t="n"/>
      <c r="E16" s="2" t="n"/>
      <c r="F16" s="2" t="n"/>
      <c r="G16" s="2" t="n"/>
      <c r="H16" s="2" t="n"/>
      <c r="I16" s="2" t="n"/>
      <c r="J16" s="4">
        <f>IF(C16="","",F16+G16)</f>
        <v/>
      </c>
      <c r="K16" s="5">
        <f>IF(C16="","",IFERROR(J16/E16,0))</f>
        <v/>
      </c>
      <c r="L16" s="4">
        <f>IF(C16="","",IF(K16&gt;=1,"Đủ công",IF(K16&gt;=0.9,"Khá","Cần xem lại")))</f>
        <v/>
      </c>
    </row>
    <row r="17">
      <c r="A17" s="2" t="n"/>
      <c r="B17" s="3" t="n"/>
      <c r="C17" s="3" t="n"/>
      <c r="D17" s="3" t="n"/>
      <c r="E17" s="2" t="n"/>
      <c r="F17" s="2" t="n"/>
      <c r="G17" s="2" t="n"/>
      <c r="H17" s="2" t="n"/>
      <c r="I17" s="2" t="n"/>
      <c r="J17" s="4">
        <f>IF(C17="","",F17+G17)</f>
        <v/>
      </c>
      <c r="K17" s="5">
        <f>IF(C17="","",IFERROR(J17/E17,0))</f>
        <v/>
      </c>
      <c r="L17" s="4">
        <f>IF(C17="","",IF(K17&gt;=1,"Đủ công",IF(K17&gt;=0.9,"Khá","Cần xem lại")))</f>
        <v/>
      </c>
    </row>
    <row r="18">
      <c r="A18" s="2" t="n"/>
      <c r="B18" s="3" t="n"/>
      <c r="C18" s="3" t="n"/>
      <c r="D18" s="3" t="n"/>
      <c r="E18" s="2" t="n"/>
      <c r="F18" s="2" t="n"/>
      <c r="G18" s="2" t="n"/>
      <c r="H18" s="2" t="n"/>
      <c r="I18" s="2" t="n"/>
      <c r="J18" s="4">
        <f>IF(C18="","",F18+G18)</f>
        <v/>
      </c>
      <c r="K18" s="5">
        <f>IF(C18="","",IFERROR(J18/E18,0))</f>
        <v/>
      </c>
      <c r="L18" s="4">
        <f>IF(C18="","",IF(K18&gt;=1,"Đủ công",IF(K18&gt;=0.9,"Khá","Cần xem lại")))</f>
        <v/>
      </c>
    </row>
    <row r="19">
      <c r="A19" s="2" t="n"/>
      <c r="B19" s="3" t="n"/>
      <c r="C19" s="3" t="n"/>
      <c r="D19" s="3" t="n"/>
      <c r="E19" s="2" t="n"/>
      <c r="F19" s="2" t="n"/>
      <c r="G19" s="2" t="n"/>
      <c r="H19" s="2" t="n"/>
      <c r="I19" s="2" t="n"/>
      <c r="J19" s="4">
        <f>IF(C19="","",F19+G19)</f>
        <v/>
      </c>
      <c r="K19" s="5">
        <f>IF(C19="","",IFERROR(J19/E19,0))</f>
        <v/>
      </c>
      <c r="L19" s="4">
        <f>IF(C19="","",IF(K19&gt;=1,"Đủ công",IF(K19&gt;=0.9,"Khá","Cần xem lại")))</f>
        <v/>
      </c>
    </row>
    <row r="20">
      <c r="A20" s="2" t="n"/>
      <c r="B20" s="3" t="n"/>
      <c r="C20" s="3" t="n"/>
      <c r="D20" s="3" t="n"/>
      <c r="E20" s="2" t="n"/>
      <c r="F20" s="2" t="n"/>
      <c r="G20" s="2" t="n"/>
      <c r="H20" s="2" t="n"/>
      <c r="I20" s="2" t="n"/>
      <c r="J20" s="4">
        <f>IF(C20="","",F20+G20)</f>
        <v/>
      </c>
      <c r="K20" s="5">
        <f>IF(C20="","",IFERROR(J20/E20,0))</f>
        <v/>
      </c>
      <c r="L20" s="4">
        <f>IF(C20="","",IF(K20&gt;=1,"Đủ công",IF(K20&gt;=0.9,"Khá","Cần xem lại")))</f>
        <v/>
      </c>
    </row>
    <row r="21">
      <c r="A21" s="2" t="n"/>
      <c r="B21" s="3" t="n"/>
      <c r="C21" s="3" t="n"/>
      <c r="D21" s="3" t="n"/>
      <c r="E21" s="2" t="n"/>
      <c r="F21" s="2" t="n"/>
      <c r="G21" s="2" t="n"/>
      <c r="H21" s="2" t="n"/>
      <c r="I21" s="2" t="n"/>
      <c r="J21" s="4">
        <f>IF(C21="","",F21+G21)</f>
        <v/>
      </c>
      <c r="K21" s="5">
        <f>IF(C21="","",IFERROR(J21/E21,0))</f>
        <v/>
      </c>
      <c r="L21" s="4">
        <f>IF(C21="","",IF(K21&gt;=1,"Đủ công",IF(K21&gt;=0.9,"Khá","Cần xem lại")))</f>
        <v/>
      </c>
    </row>
    <row r="22">
      <c r="A22" s="2" t="n"/>
      <c r="B22" s="3" t="n"/>
      <c r="C22" s="3" t="n"/>
      <c r="D22" s="3" t="n"/>
      <c r="E22" s="2" t="n"/>
      <c r="F22" s="2" t="n"/>
      <c r="G22" s="2" t="n"/>
      <c r="H22" s="2" t="n"/>
      <c r="I22" s="2" t="n"/>
      <c r="J22" s="4">
        <f>IF(C22="","",F22+G22)</f>
        <v/>
      </c>
      <c r="K22" s="5">
        <f>IF(C22="","",IFERROR(J22/E22,0))</f>
        <v/>
      </c>
      <c r="L22" s="4">
        <f>IF(C22="","",IF(K22&gt;=1,"Đủ công",IF(K22&gt;=0.9,"Khá","Cần xem lại")))</f>
        <v/>
      </c>
    </row>
    <row r="23">
      <c r="A23" s="2" t="n"/>
      <c r="B23" s="3" t="n"/>
      <c r="C23" s="3" t="n"/>
      <c r="D23" s="3" t="n"/>
      <c r="E23" s="2" t="n"/>
      <c r="F23" s="2" t="n"/>
      <c r="G23" s="2" t="n"/>
      <c r="H23" s="2" t="n"/>
      <c r="I23" s="2" t="n"/>
      <c r="J23" s="4">
        <f>IF(C23="","",F23+G23)</f>
        <v/>
      </c>
      <c r="K23" s="5">
        <f>IF(C23="","",IFERROR(J23/E23,0))</f>
        <v/>
      </c>
      <c r="L23" s="4">
        <f>IF(C23="","",IF(K23&gt;=1,"Đủ công",IF(K23&gt;=0.9,"Khá","Cần xem lại")))</f>
        <v/>
      </c>
    </row>
    <row r="24">
      <c r="A24" s="2" t="n"/>
      <c r="B24" s="3" t="n"/>
      <c r="C24" s="3" t="n"/>
      <c r="D24" s="3" t="n"/>
      <c r="E24" s="2" t="n"/>
      <c r="F24" s="2" t="n"/>
      <c r="G24" s="2" t="n"/>
      <c r="H24" s="2" t="n"/>
      <c r="I24" s="2" t="n"/>
      <c r="J24" s="4">
        <f>IF(C24="","",F24+G24)</f>
        <v/>
      </c>
      <c r="K24" s="5">
        <f>IF(C24="","",IFERROR(J24/E24,0))</f>
        <v/>
      </c>
      <c r="L24" s="4">
        <f>IF(C24="","",IF(K24&gt;=1,"Đủ công",IF(K24&gt;=0.9,"Khá","Cần xem lại")))</f>
        <v/>
      </c>
    </row>
    <row r="25">
      <c r="A25" s="2" t="n"/>
      <c r="B25" s="3" t="n"/>
      <c r="C25" s="3" t="n"/>
      <c r="D25" s="3" t="n"/>
      <c r="E25" s="2" t="n"/>
      <c r="F25" s="2" t="n"/>
      <c r="G25" s="2" t="n"/>
      <c r="H25" s="2" t="n"/>
      <c r="I25" s="2" t="n"/>
      <c r="J25" s="4">
        <f>IF(C25="","",F25+G25)</f>
        <v/>
      </c>
      <c r="K25" s="5">
        <f>IF(C25="","",IFERROR(J25/E25,0))</f>
        <v/>
      </c>
      <c r="L25" s="4">
        <f>IF(C25="","",IF(K25&gt;=1,"Đủ công",IF(K25&gt;=0.9,"Khá","Cần xem lại")))</f>
        <v/>
      </c>
    </row>
  </sheetData>
  <autoFilter ref="A1:L25"/>
  <dataValidations count="6">
    <dataValidation sqref="D2:D25" showDropDown="0" showInputMessage="0" showErrorMessage="0" allowBlank="1" errorTitle="Sai định dạng" error="Giá trị không hợp lệ cho cột này." type="list">
      <formula1>"Kinh doanh,Kế toán,Nhân sự,Kỹ thuật,Kho vận"</formula1>
    </dataValidation>
    <dataValidation sqref="E2:E25" showDropDown="0" showInputMessage="0" showErrorMessage="0" allowBlank="1" errorTitle="Sai định dạng" error="Giá trị không hợp lệ cho cột này." type="decimal" operator="between">
      <formula1>0</formula1>
      <formula2>31</formula2>
    </dataValidation>
    <dataValidation sqref="F2:F25" showDropDown="0" showInputMessage="0" showErrorMessage="0" allowBlank="1" errorTitle="Sai định dạng" error="Giá trị không hợp lệ cho cột này." type="decimal" operator="between">
      <formula1>0</formula1>
      <formula2>31</formula2>
    </dataValidation>
    <dataValidation sqref="G2:G25" showDropDown="0" showInputMessage="0" showErrorMessage="0" allowBlank="1" errorTitle="Sai định dạng" error="Giá trị không hợp lệ cho cột này." type="decimal" operator="between">
      <formula1>0</formula1>
      <formula2>31</formula2>
    </dataValidation>
    <dataValidation sqref="H2:H25" showDropDown="0" showInputMessage="0" showErrorMessage="0" allowBlank="1" errorTitle="Sai định dạng" error="Giá trị không hợp lệ cho cột này." type="decimal" operator="between">
      <formula1>0</formula1>
      <formula2>31</formula2>
    </dataValidation>
    <dataValidation sqref="I2:I25" showDropDown="0" showInputMessage="0" showErrorMessage="0" allowBlank="1" errorTitle="Sai định dạng" error="Giá trị không hợp lệ cho cột này." type="decimal" operator="between">
      <formula1>0</formula1>
      <formula2>200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2"/>
  <sheetViews>
    <sheetView workbookViewId="0">
      <selection activeCell="A1" sqref="A1"/>
    </sheetView>
  </sheetViews>
  <sheetFormatPr baseColWidth="8" defaultRowHeight="15"/>
  <cols>
    <col width="4" customWidth="1" min="1" max="1"/>
    <col width="100" customWidth="1" min="2" max="2"/>
  </cols>
  <sheetData>
    <row r="1">
      <c r="B1" s="6" t="inlineStr">
        <is>
          <t>Mẫu Excel bảng chấm công nhân viên theo tháng (có sẵn công thức)</t>
        </is>
      </c>
    </row>
    <row r="2">
      <c r="B2" s="7" t="inlineStr"/>
    </row>
    <row r="3">
      <c r="B3" s="8" t="inlineStr">
        <is>
          <t>CÁCH DÙNG</t>
        </is>
      </c>
    </row>
    <row r="4">
      <c r="B4" s="9" t="inlineStr">
        <is>
          <t>1. Nhập công chuẩn của tháng</t>
        </is>
      </c>
    </row>
    <row r="5">
      <c r="B5" s="7" t="inlineStr">
        <is>
          <t xml:space="preserve">   Cột Công chuẩn là số ngày làm việc theo quy định của tháng đó, ví dụ 26 ngày. Nhập đúng số này thì tỷ lệ chuyên cần mới chính xác.</t>
        </is>
      </c>
    </row>
    <row r="6">
      <c r="B6" s="9" t="inlineStr">
        <is>
          <t>2. Nhập danh sách nhân viên</t>
        </is>
      </c>
    </row>
    <row r="7">
      <c r="B7" s="7" t="inlineStr">
        <is>
          <t xml:space="preserve">   Điền mã nhân viên, họ tên và chọn bộ phận từ danh sách sổ xuống. Bộ phận dùng danh sách cố định để về sau lọc và cộng theo phòng ban không bị lệch do gõ sai chính tả.</t>
        </is>
      </c>
    </row>
    <row r="8">
      <c r="B8" s="9" t="inlineStr">
        <is>
          <t>3. Nhập số liệu chấm công</t>
        </is>
      </c>
    </row>
    <row r="9">
      <c r="B9" s="7" t="inlineStr">
        <is>
          <t xml:space="preserve">   Điền ngày công thực tế, ngày nghỉ phép, nghỉ không lương và giờ tăng ca. Ba cột cuối cùng sẽ tự tính, bạn không cần gõ gì vào đó.</t>
        </is>
      </c>
    </row>
    <row r="10">
      <c r="B10" s="9" t="inlineStr">
        <is>
          <t>4. Thêm nhân viên mới</t>
        </is>
      </c>
    </row>
    <row r="11">
      <c r="B11" s="7" t="inlineStr">
        <is>
          <t xml:space="preserve">   Nhập tiếp vào các dòng trống bên dưới, công thức đã được cài sẵn nên sẽ tự chạy. Nếu hết dòng trống, bôi đen dòng cuối rồi kéo thả nút vuông nhỏ ở góc dưới bên phải xuống thêm.</t>
        </is>
      </c>
    </row>
    <row r="12">
      <c r="B12" s="7" t="inlineStr"/>
    </row>
    <row r="13">
      <c r="B13" s="8" t="inlineStr">
        <is>
          <t>CÔNG THỨC TRONG FILE</t>
        </is>
      </c>
    </row>
    <row r="14">
      <c r="B14" s="9" t="inlineStr">
        <is>
          <t>Tổng công hưởng lương  —  =IF(C2="","",F2+G2)</t>
        </is>
      </c>
    </row>
    <row r="15">
      <c r="B15" s="7" t="inlineStr">
        <is>
          <t xml:space="preserve">   Cộng ngày công thực tế với ngày nghỉ phép, vì nghỉ phép năm vẫn được hưởng lương. Hàm IF ở ngoài để dòng chưa có tên nhân viên thì để trống thay vì hiện số 0.</t>
        </is>
      </c>
    </row>
    <row r="16">
      <c r="B16" s="9" t="inlineStr">
        <is>
          <t>Tỷ lệ chuyên cần  —  =IF(C2="","",IFERROR(J2/E2,0))</t>
        </is>
      </c>
    </row>
    <row r="17">
      <c r="B17" s="7" t="inlineStr">
        <is>
          <t xml:space="preserve">   Lấy tổng công hưởng lương chia cho công chuẩn của tháng. Bọc IFERROR để khi cột Công chuẩn còn trống thì trả về 0 thay vì báo lỗi #DIV/0!.</t>
        </is>
      </c>
    </row>
    <row r="18">
      <c r="B18" s="9" t="inlineStr">
        <is>
          <t>Xếp loại  —  =IF(C2="","",IF(K2&gt;=1,"Đủ công",IF(K2&gt;=0.9,"Khá","Cần xem lại")))</t>
        </is>
      </c>
    </row>
    <row r="19">
      <c r="B19" s="7" t="inlineStr">
        <is>
          <t xml:space="preserve">   Hai hàm IF lồng nhau: từ 100% trở lên là Đủ công, từ 90% đến dưới 100% là Khá, còn lại là Cần xem lại. Đổi ngưỡng bằng cách sửa hai số 1 và 0.9.</t>
        </is>
      </c>
    </row>
    <row r="20">
      <c r="B20" s="7" t="inlineStr"/>
    </row>
    <row r="21">
      <c r="B21" s="9" t="inlineStr">
        <is>
          <t>Bản cập nhật mới nhất và hướng dẫn chi tiết:</t>
        </is>
      </c>
    </row>
    <row r="22">
      <c r="B22" s="10" t="inlineStr">
        <is>
          <t>https://excel.nguyenvietloc.com/mau-excel/nhan-su/bang-cham-cong-nhan-vien</t>
        </is>
      </c>
    </row>
  </sheetData>
  <hyperlinks>
    <hyperlink xmlns:r="http://schemas.openxmlformats.org/officeDocument/2006/relationships" ref="B2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2026-08-10T14:10:51Z</dcterms:created>
  <dcterms:modified xsi:type="dcterms:W3CDTF">2026-08-10T14:10:51Z</dcterms:modified>
</cp:coreProperties>
</file>