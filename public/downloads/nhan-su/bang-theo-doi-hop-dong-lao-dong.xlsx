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ợp đồng lao động" sheetId="1" state="visible" r:id="rId1"/>
    <sheet name="Hướng dẫn" sheetId="2" state="visible" r:id="rId2"/>
  </sheets>
  <definedNames>
    <definedName name="_xlnm._FilterDatabase" localSheetId="0" hidden="1">'Hợp đồng lao động'!$A$1:$P$31</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4" fontId="0" fillId="3" borderId="1" pivotButton="0" quotePrefix="0" xfId="0"/>
    <xf numFmtId="166"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theo-doi-hop-dong-lao-dong" TargetMode="External" Id="rId1" /></Relationships>
</file>

<file path=xl/worksheets/sheet1.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6" customWidth="1" min="4" max="4"/>
    <col width="24" customWidth="1" min="5" max="5"/>
    <col width="26" customWidth="1" min="6" max="6"/>
    <col width="16" customWidth="1" min="7" max="7"/>
    <col width="24" customWidth="1" min="8" max="8"/>
    <col width="9" customWidth="1" min="9" max="9"/>
    <col width="14" customWidth="1" min="10" max="10"/>
    <col width="14" customWidth="1" min="11" max="11"/>
    <col width="16" customWidth="1" min="12" max="12"/>
    <col width="19" customWidth="1" min="13" max="13"/>
    <col width="16" customWidth="1" min="14" max="14"/>
    <col width="18" customWidth="1" min="15" max="15"/>
    <col width="34" customWidth="1" min="16" max="16"/>
  </cols>
  <sheetData>
    <row r="1" ht="32" customHeight="1">
      <c r="A1" s="1" t="inlineStr">
        <is>
          <t>STT</t>
        </is>
      </c>
      <c r="B1" s="1" t="inlineStr">
        <is>
          <t>Mã NV</t>
        </is>
      </c>
      <c r="C1" s="1" t="inlineStr">
        <is>
          <t>Họ và tên</t>
        </is>
      </c>
      <c r="D1" s="1" t="inlineStr">
        <is>
          <t>Bộ phận</t>
        </is>
      </c>
      <c r="E1" s="1" t="inlineStr">
        <is>
          <t>Chức danh</t>
        </is>
      </c>
      <c r="F1" s="1" t="inlineStr">
        <is>
          <t>Nhóm chức danh</t>
        </is>
      </c>
      <c r="G1" s="1" t="inlineStr">
        <is>
          <t>Số hợp đồng</t>
        </is>
      </c>
      <c r="H1" s="1" t="inlineStr">
        <is>
          <t>Loại hợp đồng</t>
        </is>
      </c>
      <c r="I1" s="1" t="inlineStr">
        <is>
          <t>Lần ký</t>
        </is>
      </c>
      <c r="J1" s="1" t="inlineStr">
        <is>
          <t>Ngày bắt đầu</t>
        </is>
      </c>
      <c r="K1" s="1" t="inlineStr">
        <is>
          <t>Ngày kết thúc</t>
        </is>
      </c>
      <c r="L1" s="1" t="inlineStr">
        <is>
          <t>Lương hợp đồng</t>
        </is>
      </c>
      <c r="M1" s="1" t="inlineStr">
        <is>
          <t>Trần thử việc (ngày)</t>
        </is>
      </c>
      <c r="N1" s="1" t="inlineStr">
        <is>
          <t>Thời hạn (tháng)</t>
        </is>
      </c>
      <c r="O1" s="1" t="inlineStr">
        <is>
          <t>Ngày cần báo trước</t>
        </is>
      </c>
      <c r="P1" s="1" t="inlineStr">
        <is>
          <t>Cảnh báo</t>
        </is>
      </c>
    </row>
    <row r="2">
      <c r="A2" s="2" t="n">
        <v>1</v>
      </c>
      <c r="B2" s="3" t="inlineStr">
        <is>
          <t>NV001</t>
        </is>
      </c>
      <c r="C2" s="3" t="inlineStr">
        <is>
          <t>Nguyễn Thị Mai</t>
        </is>
      </c>
      <c r="D2" s="3" t="inlineStr">
        <is>
          <t>Kinh doanh</t>
        </is>
      </c>
      <c r="E2" s="3" t="inlineStr">
        <is>
          <t>Trưởng nhóm kinh doanh</t>
        </is>
      </c>
      <c r="F2" s="3" t="inlineStr">
        <is>
          <t>Trình độ đại học trở lên</t>
        </is>
      </c>
      <c r="G2" s="3" t="inlineStr">
        <is>
          <t>HD-2024-011</t>
        </is>
      </c>
      <c r="H2" s="3" t="inlineStr">
        <is>
          <t>Không xác định thời hạn</t>
        </is>
      </c>
      <c r="I2" s="2" t="n">
        <v>3</v>
      </c>
      <c r="J2" s="4" t="n">
        <v>45352</v>
      </c>
      <c r="K2" s="4" t="n"/>
      <c r="L2" s="5" t="n">
        <v>18000000</v>
      </c>
      <c r="M2" s="6">
        <f>IF(C2="","",IF(F2="Quản lý doanh nghiệp",180,IF(F2="Trình độ đại học trở lên",60,IF(F2="Trung cấp và công nhân kỹ thuật",30,6))))</f>
        <v/>
      </c>
      <c r="N2" s="6">
        <f>IF(C2="","",IF(K2="","",ROUND((K2-J2)/30.44,1)))</f>
        <v/>
      </c>
      <c r="O2" s="7">
        <f>IF(C2="","",IF(K2="","",K2-30))</f>
        <v/>
      </c>
      <c r="P2" s="8">
        <f>IF(C2="","",IF(AND(H2="Xác định thời hạn",K2=""),"Thiếu ngày kết thúc",IF(AND(H2="Thử việc",K2-J2&gt;M2),"Thử việc vượt trần cho phép",IF(AND(H2="Xác định thời hạn",N2&gt;36),"Hợp đồng có hạn vượt 36 tháng",IF(AND(H2="Xác định thời hạn",I2&gt;=2),"Lần sau phải ký không xác định thời hạn","Hợp lệ")))))</f>
        <v/>
      </c>
    </row>
    <row r="3">
      <c r="A3" s="2" t="n">
        <v>2</v>
      </c>
      <c r="B3" s="3" t="inlineStr">
        <is>
          <t>NV002</t>
        </is>
      </c>
      <c r="C3" s="3" t="inlineStr">
        <is>
          <t>Trần Văn Hùng</t>
        </is>
      </c>
      <c r="D3" s="3" t="inlineStr">
        <is>
          <t>Kỹ thuật</t>
        </is>
      </c>
      <c r="E3" s="3" t="inlineStr">
        <is>
          <t>Kỹ thuật viên bảo trì</t>
        </is>
      </c>
      <c r="F3" s="3" t="inlineStr">
        <is>
          <t>Trung cấp và công nhân kỹ thuật</t>
        </is>
      </c>
      <c r="G3" s="3" t="inlineStr">
        <is>
          <t>HD-2026-004</t>
        </is>
      </c>
      <c r="H3" s="3" t="inlineStr">
        <is>
          <t>Xác định thời hạn</t>
        </is>
      </c>
      <c r="I3" s="2" t="n">
        <v>2</v>
      </c>
      <c r="J3" s="4" t="n">
        <v>46190</v>
      </c>
      <c r="K3" s="4" t="n">
        <v>46554</v>
      </c>
      <c r="L3" s="5" t="n">
        <v>15000000</v>
      </c>
      <c r="M3" s="6">
        <f>IF(C3="","",IF(F3="Quản lý doanh nghiệp",180,IF(F3="Trình độ đại học trở lên",60,IF(F3="Trung cấp và công nhân kỹ thuật",30,6))))</f>
        <v/>
      </c>
      <c r="N3" s="6">
        <f>IF(C3="","",IF(K3="","",ROUND((K3-J3)/30.44,1)))</f>
        <v/>
      </c>
      <c r="O3" s="7">
        <f>IF(C3="","",IF(K3="","",K3-30))</f>
        <v/>
      </c>
      <c r="P3" s="8">
        <f>IF(C3="","",IF(AND(H3="Xác định thời hạn",K3=""),"Thiếu ngày kết thúc",IF(AND(H3="Thử việc",K3-J3&gt;M3),"Thử việc vượt trần cho phép",IF(AND(H3="Xác định thời hạn",N3&gt;36),"Hợp đồng có hạn vượt 36 tháng",IF(AND(H3="Xác định thời hạn",I3&gt;=2),"Lần sau phải ký không xác định thời hạn","Hợp lệ")))))</f>
        <v/>
      </c>
    </row>
    <row r="4">
      <c r="A4" s="2" t="n">
        <v>3</v>
      </c>
      <c r="B4" s="3" t="inlineStr">
        <is>
          <t>NV003</t>
        </is>
      </c>
      <c r="C4" s="3" t="inlineStr">
        <is>
          <t>Lê Thu Hà</t>
        </is>
      </c>
      <c r="D4" s="3" t="inlineStr">
        <is>
          <t>Kế toán</t>
        </is>
      </c>
      <c r="E4" s="3" t="inlineStr">
        <is>
          <t>Kế toán tổng hợp</t>
        </is>
      </c>
      <c r="F4" s="3" t="inlineStr">
        <is>
          <t>Trình độ đại học trở lên</t>
        </is>
      </c>
      <c r="G4" s="3" t="inlineStr">
        <is>
          <t>TV-2026-009</t>
        </is>
      </c>
      <c r="H4" s="3" t="inlineStr">
        <is>
          <t>Thử việc</t>
        </is>
      </c>
      <c r="I4" s="2" t="n">
        <v>1</v>
      </c>
      <c r="J4" s="4" t="n">
        <v>46118</v>
      </c>
      <c r="K4" s="4" t="n">
        <v>46209</v>
      </c>
      <c r="L4" s="5" t="n">
        <v>12000000</v>
      </c>
      <c r="M4" s="6">
        <f>IF(C4="","",IF(F4="Quản lý doanh nghiệp",180,IF(F4="Trình độ đại học trở lên",60,IF(F4="Trung cấp và công nhân kỹ thuật",30,6))))</f>
        <v/>
      </c>
      <c r="N4" s="6">
        <f>IF(C4="","",IF(K4="","",ROUND((K4-J4)/30.44,1)))</f>
        <v/>
      </c>
      <c r="O4" s="7">
        <f>IF(C4="","",IF(K4="","",K4-30))</f>
        <v/>
      </c>
      <c r="P4" s="8">
        <f>IF(C4="","",IF(AND(H4="Xác định thời hạn",K4=""),"Thiếu ngày kết thúc",IF(AND(H4="Thử việc",K4-J4&gt;M4),"Thử việc vượt trần cho phép",IF(AND(H4="Xác định thời hạn",N4&gt;36),"Hợp đồng có hạn vượt 36 tháng",IF(AND(H4="Xác định thời hạn",I4&gt;=2),"Lần sau phải ký không xác định thời hạn","Hợp lệ")))))</f>
        <v/>
      </c>
    </row>
    <row r="5">
      <c r="A5" s="2" t="n">
        <v>4</v>
      </c>
      <c r="B5" s="3" t="inlineStr">
        <is>
          <t>NV004</t>
        </is>
      </c>
      <c r="C5" s="3" t="inlineStr">
        <is>
          <t>Phạm Minh Đức</t>
        </is>
      </c>
      <c r="D5" s="3" t="inlineStr">
        <is>
          <t>Kho vận</t>
        </is>
      </c>
      <c r="E5" s="3" t="inlineStr">
        <is>
          <t>Nhân viên kho</t>
        </is>
      </c>
      <c r="F5" s="3" t="inlineStr">
        <is>
          <t>Công việc khác</t>
        </is>
      </c>
      <c r="G5" s="3" t="inlineStr">
        <is>
          <t>HD-2026-012</t>
        </is>
      </c>
      <c r="H5" s="3" t="inlineStr">
        <is>
          <t>Xác định thời hạn</t>
        </is>
      </c>
      <c r="I5" s="2" t="n">
        <v>1</v>
      </c>
      <c r="J5" s="4" t="n">
        <v>46280</v>
      </c>
      <c r="K5" s="4" t="n">
        <v>47436</v>
      </c>
      <c r="L5" s="5" t="n">
        <v>11000000</v>
      </c>
      <c r="M5" s="6">
        <f>IF(C5="","",IF(F5="Quản lý doanh nghiệp",180,IF(F5="Trình độ đại học trở lên",60,IF(F5="Trung cấp và công nhân kỹ thuật",30,6))))</f>
        <v/>
      </c>
      <c r="N5" s="6">
        <f>IF(C5="","",IF(K5="","",ROUND((K5-J5)/30.44,1)))</f>
        <v/>
      </c>
      <c r="O5" s="7">
        <f>IF(C5="","",IF(K5="","",K5-30))</f>
        <v/>
      </c>
      <c r="P5" s="8">
        <f>IF(C5="","",IF(AND(H5="Xác định thời hạn",K5=""),"Thiếu ngày kết thúc",IF(AND(H5="Thử việc",K5-J5&gt;M5),"Thử việc vượt trần cho phép",IF(AND(H5="Xác định thời hạn",N5&gt;36),"Hợp đồng có hạn vượt 36 tháng",IF(AND(H5="Xác định thời hạn",I5&gt;=2),"Lần sau phải ký không xác định thời hạn","Hợp lệ")))))</f>
        <v/>
      </c>
    </row>
    <row r="6">
      <c r="A6" s="2" t="n">
        <v>5</v>
      </c>
      <c r="B6" s="3" t="inlineStr">
        <is>
          <t>NV005</t>
        </is>
      </c>
      <c r="C6" s="3" t="inlineStr">
        <is>
          <t>Hoàng Thị Lan</t>
        </is>
      </c>
      <c r="D6" s="3" t="inlineStr">
        <is>
          <t>Nhân sự</t>
        </is>
      </c>
      <c r="E6" s="3" t="inlineStr">
        <is>
          <t>Chuyên viên nhân sự</t>
        </is>
      </c>
      <c r="F6" s="3" t="inlineStr">
        <is>
          <t>Trình độ đại học trở lên</t>
        </is>
      </c>
      <c r="G6" s="3" t="inlineStr">
        <is>
          <t>HD-2026-002</t>
        </is>
      </c>
      <c r="H6" s="3" t="inlineStr">
        <is>
          <t>Xác định thời hạn</t>
        </is>
      </c>
      <c r="I6" s="2" t="n">
        <v>1</v>
      </c>
      <c r="J6" s="4" t="n">
        <v>46027</v>
      </c>
      <c r="K6" s="4" t="n">
        <v>46391</v>
      </c>
      <c r="L6" s="5" t="n">
        <v>13000000</v>
      </c>
      <c r="M6" s="6">
        <f>IF(C6="","",IF(F6="Quản lý doanh nghiệp",180,IF(F6="Trình độ đại học trở lên",60,IF(F6="Trung cấp và công nhân kỹ thuật",30,6))))</f>
        <v/>
      </c>
      <c r="N6" s="6">
        <f>IF(C6="","",IF(K6="","",ROUND((K6-J6)/30.44,1)))</f>
        <v/>
      </c>
      <c r="O6" s="7">
        <f>IF(C6="","",IF(K6="","",K6-30))</f>
        <v/>
      </c>
      <c r="P6" s="8">
        <f>IF(C6="","",IF(AND(H6="Xác định thời hạn",K6=""),"Thiếu ngày kết thúc",IF(AND(H6="Thử việc",K6-J6&gt;M6),"Thử việc vượt trần cho phép",IF(AND(H6="Xác định thời hạn",N6&gt;36),"Hợp đồng có hạn vượt 36 tháng",IF(AND(H6="Xác định thời hạn",I6&gt;=2),"Lần sau phải ký không xác định thời hạn","Hợp lệ")))))</f>
        <v/>
      </c>
    </row>
    <row r="7">
      <c r="A7" s="2" t="n"/>
      <c r="B7" s="3" t="n"/>
      <c r="C7" s="3" t="n"/>
      <c r="D7" s="3" t="n"/>
      <c r="E7" s="3" t="n"/>
      <c r="F7" s="3" t="n"/>
      <c r="G7" s="3" t="n"/>
      <c r="H7" s="3" t="n"/>
      <c r="I7" s="2" t="n"/>
      <c r="J7" s="4" t="n"/>
      <c r="K7" s="4" t="n"/>
      <c r="L7" s="5" t="n"/>
      <c r="M7" s="6">
        <f>IF(C7="","",IF(F7="Quản lý doanh nghiệp",180,IF(F7="Trình độ đại học trở lên",60,IF(F7="Trung cấp và công nhân kỹ thuật",30,6))))</f>
        <v/>
      </c>
      <c r="N7" s="6">
        <f>IF(C7="","",IF(K7="","",ROUND((K7-J7)/30.44,1)))</f>
        <v/>
      </c>
      <c r="O7" s="7">
        <f>IF(C7="","",IF(K7="","",K7-30))</f>
        <v/>
      </c>
      <c r="P7" s="8">
        <f>IF(C7="","",IF(AND(H7="Xác định thời hạn",K7=""),"Thiếu ngày kết thúc",IF(AND(H7="Thử việc",K7-J7&gt;M7),"Thử việc vượt trần cho phép",IF(AND(H7="Xác định thời hạn",N7&gt;36),"Hợp đồng có hạn vượt 36 tháng",IF(AND(H7="Xác định thời hạn",I7&gt;=2),"Lần sau phải ký không xác định thời hạn","Hợp lệ")))))</f>
        <v/>
      </c>
    </row>
    <row r="8">
      <c r="A8" s="2" t="n"/>
      <c r="B8" s="3" t="n"/>
      <c r="C8" s="3" t="n"/>
      <c r="D8" s="3" t="n"/>
      <c r="E8" s="3" t="n"/>
      <c r="F8" s="3" t="n"/>
      <c r="G8" s="3" t="n"/>
      <c r="H8" s="3" t="n"/>
      <c r="I8" s="2" t="n"/>
      <c r="J8" s="4" t="n"/>
      <c r="K8" s="4" t="n"/>
      <c r="L8" s="5" t="n"/>
      <c r="M8" s="6">
        <f>IF(C8="","",IF(F8="Quản lý doanh nghiệp",180,IF(F8="Trình độ đại học trở lên",60,IF(F8="Trung cấp và công nhân kỹ thuật",30,6))))</f>
        <v/>
      </c>
      <c r="N8" s="6">
        <f>IF(C8="","",IF(K8="","",ROUND((K8-J8)/30.44,1)))</f>
        <v/>
      </c>
      <c r="O8" s="7">
        <f>IF(C8="","",IF(K8="","",K8-30))</f>
        <v/>
      </c>
      <c r="P8" s="8">
        <f>IF(C8="","",IF(AND(H8="Xác định thời hạn",K8=""),"Thiếu ngày kết thúc",IF(AND(H8="Thử việc",K8-J8&gt;M8),"Thử việc vượt trần cho phép",IF(AND(H8="Xác định thời hạn",N8&gt;36),"Hợp đồng có hạn vượt 36 tháng",IF(AND(H8="Xác định thời hạn",I8&gt;=2),"Lần sau phải ký không xác định thời hạn","Hợp lệ")))))</f>
        <v/>
      </c>
    </row>
    <row r="9">
      <c r="A9" s="2" t="n"/>
      <c r="B9" s="3" t="n"/>
      <c r="C9" s="3" t="n"/>
      <c r="D9" s="3" t="n"/>
      <c r="E9" s="3" t="n"/>
      <c r="F9" s="3" t="n"/>
      <c r="G9" s="3" t="n"/>
      <c r="H9" s="3" t="n"/>
      <c r="I9" s="2" t="n"/>
      <c r="J9" s="4" t="n"/>
      <c r="K9" s="4" t="n"/>
      <c r="L9" s="5" t="n"/>
      <c r="M9" s="6">
        <f>IF(C9="","",IF(F9="Quản lý doanh nghiệp",180,IF(F9="Trình độ đại học trở lên",60,IF(F9="Trung cấp và công nhân kỹ thuật",30,6))))</f>
        <v/>
      </c>
      <c r="N9" s="6">
        <f>IF(C9="","",IF(K9="","",ROUND((K9-J9)/30.44,1)))</f>
        <v/>
      </c>
      <c r="O9" s="7">
        <f>IF(C9="","",IF(K9="","",K9-30))</f>
        <v/>
      </c>
      <c r="P9" s="8">
        <f>IF(C9="","",IF(AND(H9="Xác định thời hạn",K9=""),"Thiếu ngày kết thúc",IF(AND(H9="Thử việc",K9-J9&gt;M9),"Thử việc vượt trần cho phép",IF(AND(H9="Xác định thời hạn",N9&gt;36),"Hợp đồng có hạn vượt 36 tháng",IF(AND(H9="Xác định thời hạn",I9&gt;=2),"Lần sau phải ký không xác định thời hạn","Hợp lệ")))))</f>
        <v/>
      </c>
    </row>
    <row r="10">
      <c r="A10" s="2" t="n"/>
      <c r="B10" s="3" t="n"/>
      <c r="C10" s="3" t="n"/>
      <c r="D10" s="3" t="n"/>
      <c r="E10" s="3" t="n"/>
      <c r="F10" s="3" t="n"/>
      <c r="G10" s="3" t="n"/>
      <c r="H10" s="3" t="n"/>
      <c r="I10" s="2" t="n"/>
      <c r="J10" s="4" t="n"/>
      <c r="K10" s="4" t="n"/>
      <c r="L10" s="5" t="n"/>
      <c r="M10" s="6">
        <f>IF(C10="","",IF(F10="Quản lý doanh nghiệp",180,IF(F10="Trình độ đại học trở lên",60,IF(F10="Trung cấp và công nhân kỹ thuật",30,6))))</f>
        <v/>
      </c>
      <c r="N10" s="6">
        <f>IF(C10="","",IF(K10="","",ROUND((K10-J10)/30.44,1)))</f>
        <v/>
      </c>
      <c r="O10" s="7">
        <f>IF(C10="","",IF(K10="","",K10-30))</f>
        <v/>
      </c>
      <c r="P10" s="8">
        <f>IF(C10="","",IF(AND(H10="Xác định thời hạn",K10=""),"Thiếu ngày kết thúc",IF(AND(H10="Thử việc",K10-J10&gt;M10),"Thử việc vượt trần cho phép",IF(AND(H10="Xác định thời hạn",N10&gt;36),"Hợp đồng có hạn vượt 36 tháng",IF(AND(H10="Xác định thời hạn",I10&gt;=2),"Lần sau phải ký không xác định thời hạn","Hợp lệ")))))</f>
        <v/>
      </c>
    </row>
    <row r="11">
      <c r="A11" s="2" t="n"/>
      <c r="B11" s="3" t="n"/>
      <c r="C11" s="3" t="n"/>
      <c r="D11" s="3" t="n"/>
      <c r="E11" s="3" t="n"/>
      <c r="F11" s="3" t="n"/>
      <c r="G11" s="3" t="n"/>
      <c r="H11" s="3" t="n"/>
      <c r="I11" s="2" t="n"/>
      <c r="J11" s="4" t="n"/>
      <c r="K11" s="4" t="n"/>
      <c r="L11" s="5" t="n"/>
      <c r="M11" s="6">
        <f>IF(C11="","",IF(F11="Quản lý doanh nghiệp",180,IF(F11="Trình độ đại học trở lên",60,IF(F11="Trung cấp và công nhân kỹ thuật",30,6))))</f>
        <v/>
      </c>
      <c r="N11" s="6">
        <f>IF(C11="","",IF(K11="","",ROUND((K11-J11)/30.44,1)))</f>
        <v/>
      </c>
      <c r="O11" s="7">
        <f>IF(C11="","",IF(K11="","",K11-30))</f>
        <v/>
      </c>
      <c r="P11" s="8">
        <f>IF(C11="","",IF(AND(H11="Xác định thời hạn",K11=""),"Thiếu ngày kết thúc",IF(AND(H11="Thử việc",K11-J11&gt;M11),"Thử việc vượt trần cho phép",IF(AND(H11="Xác định thời hạn",N11&gt;36),"Hợp đồng có hạn vượt 36 tháng",IF(AND(H11="Xác định thời hạn",I11&gt;=2),"Lần sau phải ký không xác định thời hạn","Hợp lệ")))))</f>
        <v/>
      </c>
    </row>
    <row r="12">
      <c r="A12" s="2" t="n"/>
      <c r="B12" s="3" t="n"/>
      <c r="C12" s="3" t="n"/>
      <c r="D12" s="3" t="n"/>
      <c r="E12" s="3" t="n"/>
      <c r="F12" s="3" t="n"/>
      <c r="G12" s="3" t="n"/>
      <c r="H12" s="3" t="n"/>
      <c r="I12" s="2" t="n"/>
      <c r="J12" s="4" t="n"/>
      <c r="K12" s="4" t="n"/>
      <c r="L12" s="5" t="n"/>
      <c r="M12" s="6">
        <f>IF(C12="","",IF(F12="Quản lý doanh nghiệp",180,IF(F12="Trình độ đại học trở lên",60,IF(F12="Trung cấp và công nhân kỹ thuật",30,6))))</f>
        <v/>
      </c>
      <c r="N12" s="6">
        <f>IF(C12="","",IF(K12="","",ROUND((K12-J12)/30.44,1)))</f>
        <v/>
      </c>
      <c r="O12" s="7">
        <f>IF(C12="","",IF(K12="","",K12-30))</f>
        <v/>
      </c>
      <c r="P12" s="8">
        <f>IF(C12="","",IF(AND(H12="Xác định thời hạn",K12=""),"Thiếu ngày kết thúc",IF(AND(H12="Thử việc",K12-J12&gt;M12),"Thử việc vượt trần cho phép",IF(AND(H12="Xác định thời hạn",N12&gt;36),"Hợp đồng có hạn vượt 36 tháng",IF(AND(H12="Xác định thời hạn",I12&gt;=2),"Lần sau phải ký không xác định thời hạn","Hợp lệ")))))</f>
        <v/>
      </c>
    </row>
    <row r="13">
      <c r="A13" s="2" t="n"/>
      <c r="B13" s="3" t="n"/>
      <c r="C13" s="3" t="n"/>
      <c r="D13" s="3" t="n"/>
      <c r="E13" s="3" t="n"/>
      <c r="F13" s="3" t="n"/>
      <c r="G13" s="3" t="n"/>
      <c r="H13" s="3" t="n"/>
      <c r="I13" s="2" t="n"/>
      <c r="J13" s="4" t="n"/>
      <c r="K13" s="4" t="n"/>
      <c r="L13" s="5" t="n"/>
      <c r="M13" s="6">
        <f>IF(C13="","",IF(F13="Quản lý doanh nghiệp",180,IF(F13="Trình độ đại học trở lên",60,IF(F13="Trung cấp và công nhân kỹ thuật",30,6))))</f>
        <v/>
      </c>
      <c r="N13" s="6">
        <f>IF(C13="","",IF(K13="","",ROUND((K13-J13)/30.44,1)))</f>
        <v/>
      </c>
      <c r="O13" s="7">
        <f>IF(C13="","",IF(K13="","",K13-30))</f>
        <v/>
      </c>
      <c r="P13" s="8">
        <f>IF(C13="","",IF(AND(H13="Xác định thời hạn",K13=""),"Thiếu ngày kết thúc",IF(AND(H13="Thử việc",K13-J13&gt;M13),"Thử việc vượt trần cho phép",IF(AND(H13="Xác định thời hạn",N13&gt;36),"Hợp đồng có hạn vượt 36 tháng",IF(AND(H13="Xác định thời hạn",I13&gt;=2),"Lần sau phải ký không xác định thời hạn","Hợp lệ")))))</f>
        <v/>
      </c>
    </row>
    <row r="14">
      <c r="A14" s="2" t="n"/>
      <c r="B14" s="3" t="n"/>
      <c r="C14" s="3" t="n"/>
      <c r="D14" s="3" t="n"/>
      <c r="E14" s="3" t="n"/>
      <c r="F14" s="3" t="n"/>
      <c r="G14" s="3" t="n"/>
      <c r="H14" s="3" t="n"/>
      <c r="I14" s="2" t="n"/>
      <c r="J14" s="4" t="n"/>
      <c r="K14" s="4" t="n"/>
      <c r="L14" s="5" t="n"/>
      <c r="M14" s="6">
        <f>IF(C14="","",IF(F14="Quản lý doanh nghiệp",180,IF(F14="Trình độ đại học trở lên",60,IF(F14="Trung cấp và công nhân kỹ thuật",30,6))))</f>
        <v/>
      </c>
      <c r="N14" s="6">
        <f>IF(C14="","",IF(K14="","",ROUND((K14-J14)/30.44,1)))</f>
        <v/>
      </c>
      <c r="O14" s="7">
        <f>IF(C14="","",IF(K14="","",K14-30))</f>
        <v/>
      </c>
      <c r="P14" s="8">
        <f>IF(C14="","",IF(AND(H14="Xác định thời hạn",K14=""),"Thiếu ngày kết thúc",IF(AND(H14="Thử việc",K14-J14&gt;M14),"Thử việc vượt trần cho phép",IF(AND(H14="Xác định thời hạn",N14&gt;36),"Hợp đồng có hạn vượt 36 tháng",IF(AND(H14="Xác định thời hạn",I14&gt;=2),"Lần sau phải ký không xác định thời hạn","Hợp lệ")))))</f>
        <v/>
      </c>
    </row>
    <row r="15">
      <c r="A15" s="2" t="n"/>
      <c r="B15" s="3" t="n"/>
      <c r="C15" s="3" t="n"/>
      <c r="D15" s="3" t="n"/>
      <c r="E15" s="3" t="n"/>
      <c r="F15" s="3" t="n"/>
      <c r="G15" s="3" t="n"/>
      <c r="H15" s="3" t="n"/>
      <c r="I15" s="2" t="n"/>
      <c r="J15" s="4" t="n"/>
      <c r="K15" s="4" t="n"/>
      <c r="L15" s="5" t="n"/>
      <c r="M15" s="6">
        <f>IF(C15="","",IF(F15="Quản lý doanh nghiệp",180,IF(F15="Trình độ đại học trở lên",60,IF(F15="Trung cấp và công nhân kỹ thuật",30,6))))</f>
        <v/>
      </c>
      <c r="N15" s="6">
        <f>IF(C15="","",IF(K15="","",ROUND((K15-J15)/30.44,1)))</f>
        <v/>
      </c>
      <c r="O15" s="7">
        <f>IF(C15="","",IF(K15="","",K15-30))</f>
        <v/>
      </c>
      <c r="P15" s="8">
        <f>IF(C15="","",IF(AND(H15="Xác định thời hạn",K15=""),"Thiếu ngày kết thúc",IF(AND(H15="Thử việc",K15-J15&gt;M15),"Thử việc vượt trần cho phép",IF(AND(H15="Xác định thời hạn",N15&gt;36),"Hợp đồng có hạn vượt 36 tháng",IF(AND(H15="Xác định thời hạn",I15&gt;=2),"Lần sau phải ký không xác định thời hạn","Hợp lệ")))))</f>
        <v/>
      </c>
    </row>
    <row r="16">
      <c r="A16" s="2" t="n"/>
      <c r="B16" s="3" t="n"/>
      <c r="C16" s="3" t="n"/>
      <c r="D16" s="3" t="n"/>
      <c r="E16" s="3" t="n"/>
      <c r="F16" s="3" t="n"/>
      <c r="G16" s="3" t="n"/>
      <c r="H16" s="3" t="n"/>
      <c r="I16" s="2" t="n"/>
      <c r="J16" s="4" t="n"/>
      <c r="K16" s="4" t="n"/>
      <c r="L16" s="5" t="n"/>
      <c r="M16" s="6">
        <f>IF(C16="","",IF(F16="Quản lý doanh nghiệp",180,IF(F16="Trình độ đại học trở lên",60,IF(F16="Trung cấp và công nhân kỹ thuật",30,6))))</f>
        <v/>
      </c>
      <c r="N16" s="6">
        <f>IF(C16="","",IF(K16="","",ROUND((K16-J16)/30.44,1)))</f>
        <v/>
      </c>
      <c r="O16" s="7">
        <f>IF(C16="","",IF(K16="","",K16-30))</f>
        <v/>
      </c>
      <c r="P16" s="8">
        <f>IF(C16="","",IF(AND(H16="Xác định thời hạn",K16=""),"Thiếu ngày kết thúc",IF(AND(H16="Thử việc",K16-J16&gt;M16),"Thử việc vượt trần cho phép",IF(AND(H16="Xác định thời hạn",N16&gt;36),"Hợp đồng có hạn vượt 36 tháng",IF(AND(H16="Xác định thời hạn",I16&gt;=2),"Lần sau phải ký không xác định thời hạn","Hợp lệ")))))</f>
        <v/>
      </c>
    </row>
    <row r="17">
      <c r="A17" s="2" t="n"/>
      <c r="B17" s="3" t="n"/>
      <c r="C17" s="3" t="n"/>
      <c r="D17" s="3" t="n"/>
      <c r="E17" s="3" t="n"/>
      <c r="F17" s="3" t="n"/>
      <c r="G17" s="3" t="n"/>
      <c r="H17" s="3" t="n"/>
      <c r="I17" s="2" t="n"/>
      <c r="J17" s="4" t="n"/>
      <c r="K17" s="4" t="n"/>
      <c r="L17" s="5" t="n"/>
      <c r="M17" s="6">
        <f>IF(C17="","",IF(F17="Quản lý doanh nghiệp",180,IF(F17="Trình độ đại học trở lên",60,IF(F17="Trung cấp và công nhân kỹ thuật",30,6))))</f>
        <v/>
      </c>
      <c r="N17" s="6">
        <f>IF(C17="","",IF(K17="","",ROUND((K17-J17)/30.44,1)))</f>
        <v/>
      </c>
      <c r="O17" s="7">
        <f>IF(C17="","",IF(K17="","",K17-30))</f>
        <v/>
      </c>
      <c r="P17" s="8">
        <f>IF(C17="","",IF(AND(H17="Xác định thời hạn",K17=""),"Thiếu ngày kết thúc",IF(AND(H17="Thử việc",K17-J17&gt;M17),"Thử việc vượt trần cho phép",IF(AND(H17="Xác định thời hạn",N17&gt;36),"Hợp đồng có hạn vượt 36 tháng",IF(AND(H17="Xác định thời hạn",I17&gt;=2),"Lần sau phải ký không xác định thời hạn","Hợp lệ")))))</f>
        <v/>
      </c>
    </row>
    <row r="18">
      <c r="A18" s="2" t="n"/>
      <c r="B18" s="3" t="n"/>
      <c r="C18" s="3" t="n"/>
      <c r="D18" s="3" t="n"/>
      <c r="E18" s="3" t="n"/>
      <c r="F18" s="3" t="n"/>
      <c r="G18" s="3" t="n"/>
      <c r="H18" s="3" t="n"/>
      <c r="I18" s="2" t="n"/>
      <c r="J18" s="4" t="n"/>
      <c r="K18" s="4" t="n"/>
      <c r="L18" s="5" t="n"/>
      <c r="M18" s="6">
        <f>IF(C18="","",IF(F18="Quản lý doanh nghiệp",180,IF(F18="Trình độ đại học trở lên",60,IF(F18="Trung cấp và công nhân kỹ thuật",30,6))))</f>
        <v/>
      </c>
      <c r="N18" s="6">
        <f>IF(C18="","",IF(K18="","",ROUND((K18-J18)/30.44,1)))</f>
        <v/>
      </c>
      <c r="O18" s="7">
        <f>IF(C18="","",IF(K18="","",K18-30))</f>
        <v/>
      </c>
      <c r="P18" s="8">
        <f>IF(C18="","",IF(AND(H18="Xác định thời hạn",K18=""),"Thiếu ngày kết thúc",IF(AND(H18="Thử việc",K18-J18&gt;M18),"Thử việc vượt trần cho phép",IF(AND(H18="Xác định thời hạn",N18&gt;36),"Hợp đồng có hạn vượt 36 tháng",IF(AND(H18="Xác định thời hạn",I18&gt;=2),"Lần sau phải ký không xác định thời hạn","Hợp lệ")))))</f>
        <v/>
      </c>
    </row>
    <row r="19">
      <c r="A19" s="2" t="n"/>
      <c r="B19" s="3" t="n"/>
      <c r="C19" s="3" t="n"/>
      <c r="D19" s="3" t="n"/>
      <c r="E19" s="3" t="n"/>
      <c r="F19" s="3" t="n"/>
      <c r="G19" s="3" t="n"/>
      <c r="H19" s="3" t="n"/>
      <c r="I19" s="2" t="n"/>
      <c r="J19" s="4" t="n"/>
      <c r="K19" s="4" t="n"/>
      <c r="L19" s="5" t="n"/>
      <c r="M19" s="6">
        <f>IF(C19="","",IF(F19="Quản lý doanh nghiệp",180,IF(F19="Trình độ đại học trở lên",60,IF(F19="Trung cấp và công nhân kỹ thuật",30,6))))</f>
        <v/>
      </c>
      <c r="N19" s="6">
        <f>IF(C19="","",IF(K19="","",ROUND((K19-J19)/30.44,1)))</f>
        <v/>
      </c>
      <c r="O19" s="7">
        <f>IF(C19="","",IF(K19="","",K19-30))</f>
        <v/>
      </c>
      <c r="P19" s="8">
        <f>IF(C19="","",IF(AND(H19="Xác định thời hạn",K19=""),"Thiếu ngày kết thúc",IF(AND(H19="Thử việc",K19-J19&gt;M19),"Thử việc vượt trần cho phép",IF(AND(H19="Xác định thời hạn",N19&gt;36),"Hợp đồng có hạn vượt 36 tháng",IF(AND(H19="Xác định thời hạn",I19&gt;=2),"Lần sau phải ký không xác định thời hạn","Hợp lệ")))))</f>
        <v/>
      </c>
    </row>
    <row r="20">
      <c r="A20" s="2" t="n"/>
      <c r="B20" s="3" t="n"/>
      <c r="C20" s="3" t="n"/>
      <c r="D20" s="3" t="n"/>
      <c r="E20" s="3" t="n"/>
      <c r="F20" s="3" t="n"/>
      <c r="G20" s="3" t="n"/>
      <c r="H20" s="3" t="n"/>
      <c r="I20" s="2" t="n"/>
      <c r="J20" s="4" t="n"/>
      <c r="K20" s="4" t="n"/>
      <c r="L20" s="5" t="n"/>
      <c r="M20" s="6">
        <f>IF(C20="","",IF(F20="Quản lý doanh nghiệp",180,IF(F20="Trình độ đại học trở lên",60,IF(F20="Trung cấp và công nhân kỹ thuật",30,6))))</f>
        <v/>
      </c>
      <c r="N20" s="6">
        <f>IF(C20="","",IF(K20="","",ROUND((K20-J20)/30.44,1)))</f>
        <v/>
      </c>
      <c r="O20" s="7">
        <f>IF(C20="","",IF(K20="","",K20-30))</f>
        <v/>
      </c>
      <c r="P20" s="8">
        <f>IF(C20="","",IF(AND(H20="Xác định thời hạn",K20=""),"Thiếu ngày kết thúc",IF(AND(H20="Thử việc",K20-J20&gt;M20),"Thử việc vượt trần cho phép",IF(AND(H20="Xác định thời hạn",N20&gt;36),"Hợp đồng có hạn vượt 36 tháng",IF(AND(H20="Xác định thời hạn",I20&gt;=2),"Lần sau phải ký không xác định thời hạn","Hợp lệ")))))</f>
        <v/>
      </c>
    </row>
    <row r="21">
      <c r="A21" s="2" t="n"/>
      <c r="B21" s="3" t="n"/>
      <c r="C21" s="3" t="n"/>
      <c r="D21" s="3" t="n"/>
      <c r="E21" s="3" t="n"/>
      <c r="F21" s="3" t="n"/>
      <c r="G21" s="3" t="n"/>
      <c r="H21" s="3" t="n"/>
      <c r="I21" s="2" t="n"/>
      <c r="J21" s="4" t="n"/>
      <c r="K21" s="4" t="n"/>
      <c r="L21" s="5" t="n"/>
      <c r="M21" s="6">
        <f>IF(C21="","",IF(F21="Quản lý doanh nghiệp",180,IF(F21="Trình độ đại học trở lên",60,IF(F21="Trung cấp và công nhân kỹ thuật",30,6))))</f>
        <v/>
      </c>
      <c r="N21" s="6">
        <f>IF(C21="","",IF(K21="","",ROUND((K21-J21)/30.44,1)))</f>
        <v/>
      </c>
      <c r="O21" s="7">
        <f>IF(C21="","",IF(K21="","",K21-30))</f>
        <v/>
      </c>
      <c r="P21" s="8">
        <f>IF(C21="","",IF(AND(H21="Xác định thời hạn",K21=""),"Thiếu ngày kết thúc",IF(AND(H21="Thử việc",K21-J21&gt;M21),"Thử việc vượt trần cho phép",IF(AND(H21="Xác định thời hạn",N21&gt;36),"Hợp đồng có hạn vượt 36 tháng",IF(AND(H21="Xác định thời hạn",I21&gt;=2),"Lần sau phải ký không xác định thời hạn","Hợp lệ")))))</f>
        <v/>
      </c>
    </row>
    <row r="22">
      <c r="A22" s="2" t="n"/>
      <c r="B22" s="3" t="n"/>
      <c r="C22" s="3" t="n"/>
      <c r="D22" s="3" t="n"/>
      <c r="E22" s="3" t="n"/>
      <c r="F22" s="3" t="n"/>
      <c r="G22" s="3" t="n"/>
      <c r="H22" s="3" t="n"/>
      <c r="I22" s="2" t="n"/>
      <c r="J22" s="4" t="n"/>
      <c r="K22" s="4" t="n"/>
      <c r="L22" s="5" t="n"/>
      <c r="M22" s="6">
        <f>IF(C22="","",IF(F22="Quản lý doanh nghiệp",180,IF(F22="Trình độ đại học trở lên",60,IF(F22="Trung cấp và công nhân kỹ thuật",30,6))))</f>
        <v/>
      </c>
      <c r="N22" s="6">
        <f>IF(C22="","",IF(K22="","",ROUND((K22-J22)/30.44,1)))</f>
        <v/>
      </c>
      <c r="O22" s="7">
        <f>IF(C22="","",IF(K22="","",K22-30))</f>
        <v/>
      </c>
      <c r="P22" s="8">
        <f>IF(C22="","",IF(AND(H22="Xác định thời hạn",K22=""),"Thiếu ngày kết thúc",IF(AND(H22="Thử việc",K22-J22&gt;M22),"Thử việc vượt trần cho phép",IF(AND(H22="Xác định thời hạn",N22&gt;36),"Hợp đồng có hạn vượt 36 tháng",IF(AND(H22="Xác định thời hạn",I22&gt;=2),"Lần sau phải ký không xác định thời hạn","Hợp lệ")))))</f>
        <v/>
      </c>
    </row>
    <row r="23">
      <c r="A23" s="2" t="n"/>
      <c r="B23" s="3" t="n"/>
      <c r="C23" s="3" t="n"/>
      <c r="D23" s="3" t="n"/>
      <c r="E23" s="3" t="n"/>
      <c r="F23" s="3" t="n"/>
      <c r="G23" s="3" t="n"/>
      <c r="H23" s="3" t="n"/>
      <c r="I23" s="2" t="n"/>
      <c r="J23" s="4" t="n"/>
      <c r="K23" s="4" t="n"/>
      <c r="L23" s="5" t="n"/>
      <c r="M23" s="6">
        <f>IF(C23="","",IF(F23="Quản lý doanh nghiệp",180,IF(F23="Trình độ đại học trở lên",60,IF(F23="Trung cấp và công nhân kỹ thuật",30,6))))</f>
        <v/>
      </c>
      <c r="N23" s="6">
        <f>IF(C23="","",IF(K23="","",ROUND((K23-J23)/30.44,1)))</f>
        <v/>
      </c>
      <c r="O23" s="7">
        <f>IF(C23="","",IF(K23="","",K23-30))</f>
        <v/>
      </c>
      <c r="P23" s="8">
        <f>IF(C23="","",IF(AND(H23="Xác định thời hạn",K23=""),"Thiếu ngày kết thúc",IF(AND(H23="Thử việc",K23-J23&gt;M23),"Thử việc vượt trần cho phép",IF(AND(H23="Xác định thời hạn",N23&gt;36),"Hợp đồng có hạn vượt 36 tháng",IF(AND(H23="Xác định thời hạn",I23&gt;=2),"Lần sau phải ký không xác định thời hạn","Hợp lệ")))))</f>
        <v/>
      </c>
    </row>
    <row r="24">
      <c r="A24" s="2" t="n"/>
      <c r="B24" s="3" t="n"/>
      <c r="C24" s="3" t="n"/>
      <c r="D24" s="3" t="n"/>
      <c r="E24" s="3" t="n"/>
      <c r="F24" s="3" t="n"/>
      <c r="G24" s="3" t="n"/>
      <c r="H24" s="3" t="n"/>
      <c r="I24" s="2" t="n"/>
      <c r="J24" s="4" t="n"/>
      <c r="K24" s="4" t="n"/>
      <c r="L24" s="5" t="n"/>
      <c r="M24" s="6">
        <f>IF(C24="","",IF(F24="Quản lý doanh nghiệp",180,IF(F24="Trình độ đại học trở lên",60,IF(F24="Trung cấp và công nhân kỹ thuật",30,6))))</f>
        <v/>
      </c>
      <c r="N24" s="6">
        <f>IF(C24="","",IF(K24="","",ROUND((K24-J24)/30.44,1)))</f>
        <v/>
      </c>
      <c r="O24" s="7">
        <f>IF(C24="","",IF(K24="","",K24-30))</f>
        <v/>
      </c>
      <c r="P24" s="8">
        <f>IF(C24="","",IF(AND(H24="Xác định thời hạn",K24=""),"Thiếu ngày kết thúc",IF(AND(H24="Thử việc",K24-J24&gt;M24),"Thử việc vượt trần cho phép",IF(AND(H24="Xác định thời hạn",N24&gt;36),"Hợp đồng có hạn vượt 36 tháng",IF(AND(H24="Xác định thời hạn",I24&gt;=2),"Lần sau phải ký không xác định thời hạn","Hợp lệ")))))</f>
        <v/>
      </c>
    </row>
    <row r="25">
      <c r="A25" s="2" t="n"/>
      <c r="B25" s="3" t="n"/>
      <c r="C25" s="3" t="n"/>
      <c r="D25" s="3" t="n"/>
      <c r="E25" s="3" t="n"/>
      <c r="F25" s="3" t="n"/>
      <c r="G25" s="3" t="n"/>
      <c r="H25" s="3" t="n"/>
      <c r="I25" s="2" t="n"/>
      <c r="J25" s="4" t="n"/>
      <c r="K25" s="4" t="n"/>
      <c r="L25" s="5" t="n"/>
      <c r="M25" s="6">
        <f>IF(C25="","",IF(F25="Quản lý doanh nghiệp",180,IF(F25="Trình độ đại học trở lên",60,IF(F25="Trung cấp và công nhân kỹ thuật",30,6))))</f>
        <v/>
      </c>
      <c r="N25" s="6">
        <f>IF(C25="","",IF(K25="","",ROUND((K25-J25)/30.44,1)))</f>
        <v/>
      </c>
      <c r="O25" s="7">
        <f>IF(C25="","",IF(K25="","",K25-30))</f>
        <v/>
      </c>
      <c r="P25" s="8">
        <f>IF(C25="","",IF(AND(H25="Xác định thời hạn",K25=""),"Thiếu ngày kết thúc",IF(AND(H25="Thử việc",K25-J25&gt;M25),"Thử việc vượt trần cho phép",IF(AND(H25="Xác định thời hạn",N25&gt;36),"Hợp đồng có hạn vượt 36 tháng",IF(AND(H25="Xác định thời hạn",I25&gt;=2),"Lần sau phải ký không xác định thời hạn","Hợp lệ")))))</f>
        <v/>
      </c>
    </row>
    <row r="26">
      <c r="A26" s="2" t="n"/>
      <c r="B26" s="3" t="n"/>
      <c r="C26" s="3" t="n"/>
      <c r="D26" s="3" t="n"/>
      <c r="E26" s="3" t="n"/>
      <c r="F26" s="3" t="n"/>
      <c r="G26" s="3" t="n"/>
      <c r="H26" s="3" t="n"/>
      <c r="I26" s="2" t="n"/>
      <c r="J26" s="4" t="n"/>
      <c r="K26" s="4" t="n"/>
      <c r="L26" s="5" t="n"/>
      <c r="M26" s="6">
        <f>IF(C26="","",IF(F26="Quản lý doanh nghiệp",180,IF(F26="Trình độ đại học trở lên",60,IF(F26="Trung cấp và công nhân kỹ thuật",30,6))))</f>
        <v/>
      </c>
      <c r="N26" s="6">
        <f>IF(C26="","",IF(K26="","",ROUND((K26-J26)/30.44,1)))</f>
        <v/>
      </c>
      <c r="O26" s="7">
        <f>IF(C26="","",IF(K26="","",K26-30))</f>
        <v/>
      </c>
      <c r="P26" s="8">
        <f>IF(C26="","",IF(AND(H26="Xác định thời hạn",K26=""),"Thiếu ngày kết thúc",IF(AND(H26="Thử việc",K26-J26&gt;M26),"Thử việc vượt trần cho phép",IF(AND(H26="Xác định thời hạn",N26&gt;36),"Hợp đồng có hạn vượt 36 tháng",IF(AND(H26="Xác định thời hạn",I26&gt;=2),"Lần sau phải ký không xác định thời hạn","Hợp lệ")))))</f>
        <v/>
      </c>
    </row>
    <row r="27">
      <c r="A27" s="2" t="n"/>
      <c r="B27" s="3" t="n"/>
      <c r="C27" s="3" t="n"/>
      <c r="D27" s="3" t="n"/>
      <c r="E27" s="3" t="n"/>
      <c r="F27" s="3" t="n"/>
      <c r="G27" s="3" t="n"/>
      <c r="H27" s="3" t="n"/>
      <c r="I27" s="2" t="n"/>
      <c r="J27" s="4" t="n"/>
      <c r="K27" s="4" t="n"/>
      <c r="L27" s="5" t="n"/>
      <c r="M27" s="6">
        <f>IF(C27="","",IF(F27="Quản lý doanh nghiệp",180,IF(F27="Trình độ đại học trở lên",60,IF(F27="Trung cấp và công nhân kỹ thuật",30,6))))</f>
        <v/>
      </c>
      <c r="N27" s="6">
        <f>IF(C27="","",IF(K27="","",ROUND((K27-J27)/30.44,1)))</f>
        <v/>
      </c>
      <c r="O27" s="7">
        <f>IF(C27="","",IF(K27="","",K27-30))</f>
        <v/>
      </c>
      <c r="P27" s="8">
        <f>IF(C27="","",IF(AND(H27="Xác định thời hạn",K27=""),"Thiếu ngày kết thúc",IF(AND(H27="Thử việc",K27-J27&gt;M27),"Thử việc vượt trần cho phép",IF(AND(H27="Xác định thời hạn",N27&gt;36),"Hợp đồng có hạn vượt 36 tháng",IF(AND(H27="Xác định thời hạn",I27&gt;=2),"Lần sau phải ký không xác định thời hạn","Hợp lệ")))))</f>
        <v/>
      </c>
    </row>
    <row r="28">
      <c r="A28" s="2" t="n"/>
      <c r="B28" s="3" t="n"/>
      <c r="C28" s="3" t="n"/>
      <c r="D28" s="3" t="n"/>
      <c r="E28" s="3" t="n"/>
      <c r="F28" s="3" t="n"/>
      <c r="G28" s="3" t="n"/>
      <c r="H28" s="3" t="n"/>
      <c r="I28" s="2" t="n"/>
      <c r="J28" s="4" t="n"/>
      <c r="K28" s="4" t="n"/>
      <c r="L28" s="5" t="n"/>
      <c r="M28" s="6">
        <f>IF(C28="","",IF(F28="Quản lý doanh nghiệp",180,IF(F28="Trình độ đại học trở lên",60,IF(F28="Trung cấp và công nhân kỹ thuật",30,6))))</f>
        <v/>
      </c>
      <c r="N28" s="6">
        <f>IF(C28="","",IF(K28="","",ROUND((K28-J28)/30.44,1)))</f>
        <v/>
      </c>
      <c r="O28" s="7">
        <f>IF(C28="","",IF(K28="","",K28-30))</f>
        <v/>
      </c>
      <c r="P28" s="8">
        <f>IF(C28="","",IF(AND(H28="Xác định thời hạn",K28=""),"Thiếu ngày kết thúc",IF(AND(H28="Thử việc",K28-J28&gt;M28),"Thử việc vượt trần cho phép",IF(AND(H28="Xác định thời hạn",N28&gt;36),"Hợp đồng có hạn vượt 36 tháng",IF(AND(H28="Xác định thời hạn",I28&gt;=2),"Lần sau phải ký không xác định thời hạn","Hợp lệ")))))</f>
        <v/>
      </c>
    </row>
    <row r="29">
      <c r="A29" s="2" t="n"/>
      <c r="B29" s="3" t="n"/>
      <c r="C29" s="3" t="n"/>
      <c r="D29" s="3" t="n"/>
      <c r="E29" s="3" t="n"/>
      <c r="F29" s="3" t="n"/>
      <c r="G29" s="3" t="n"/>
      <c r="H29" s="3" t="n"/>
      <c r="I29" s="2" t="n"/>
      <c r="J29" s="4" t="n"/>
      <c r="K29" s="4" t="n"/>
      <c r="L29" s="5" t="n"/>
      <c r="M29" s="6">
        <f>IF(C29="","",IF(F29="Quản lý doanh nghiệp",180,IF(F29="Trình độ đại học trở lên",60,IF(F29="Trung cấp và công nhân kỹ thuật",30,6))))</f>
        <v/>
      </c>
      <c r="N29" s="6">
        <f>IF(C29="","",IF(K29="","",ROUND((K29-J29)/30.44,1)))</f>
        <v/>
      </c>
      <c r="O29" s="7">
        <f>IF(C29="","",IF(K29="","",K29-30))</f>
        <v/>
      </c>
      <c r="P29" s="8">
        <f>IF(C29="","",IF(AND(H29="Xác định thời hạn",K29=""),"Thiếu ngày kết thúc",IF(AND(H29="Thử việc",K29-J29&gt;M29),"Thử việc vượt trần cho phép",IF(AND(H29="Xác định thời hạn",N29&gt;36),"Hợp đồng có hạn vượt 36 tháng",IF(AND(H29="Xác định thời hạn",I29&gt;=2),"Lần sau phải ký không xác định thời hạn","Hợp lệ")))))</f>
        <v/>
      </c>
    </row>
    <row r="30">
      <c r="A30" s="2" t="n"/>
      <c r="B30" s="3" t="n"/>
      <c r="C30" s="3" t="n"/>
      <c r="D30" s="3" t="n"/>
      <c r="E30" s="3" t="n"/>
      <c r="F30" s="3" t="n"/>
      <c r="G30" s="3" t="n"/>
      <c r="H30" s="3" t="n"/>
      <c r="I30" s="2" t="n"/>
      <c r="J30" s="4" t="n"/>
      <c r="K30" s="4" t="n"/>
      <c r="L30" s="5" t="n"/>
      <c r="M30" s="6">
        <f>IF(C30="","",IF(F30="Quản lý doanh nghiệp",180,IF(F30="Trình độ đại học trở lên",60,IF(F30="Trung cấp và công nhân kỹ thuật",30,6))))</f>
        <v/>
      </c>
      <c r="N30" s="6">
        <f>IF(C30="","",IF(K30="","",ROUND((K30-J30)/30.44,1)))</f>
        <v/>
      </c>
      <c r="O30" s="7">
        <f>IF(C30="","",IF(K30="","",K30-30))</f>
        <v/>
      </c>
      <c r="P30" s="8">
        <f>IF(C30="","",IF(AND(H30="Xác định thời hạn",K30=""),"Thiếu ngày kết thúc",IF(AND(H30="Thử việc",K30-J30&gt;M30),"Thử việc vượt trần cho phép",IF(AND(H30="Xác định thời hạn",N30&gt;36),"Hợp đồng có hạn vượt 36 tháng",IF(AND(H30="Xác định thời hạn",I30&gt;=2),"Lần sau phải ký không xác định thời hạn","Hợp lệ")))))</f>
        <v/>
      </c>
    </row>
    <row r="31">
      <c r="A31" s="2" t="n"/>
      <c r="B31" s="3" t="n"/>
      <c r="C31" s="3" t="n"/>
      <c r="D31" s="3" t="n"/>
      <c r="E31" s="3" t="n"/>
      <c r="F31" s="3" t="n"/>
      <c r="G31" s="3" t="n"/>
      <c r="H31" s="3" t="n"/>
      <c r="I31" s="2" t="n"/>
      <c r="J31" s="4" t="n"/>
      <c r="K31" s="4" t="n"/>
      <c r="L31" s="5" t="n"/>
      <c r="M31" s="6">
        <f>IF(C31="","",IF(F31="Quản lý doanh nghiệp",180,IF(F31="Trình độ đại học trở lên",60,IF(F31="Trung cấp và công nhân kỹ thuật",30,6))))</f>
        <v/>
      </c>
      <c r="N31" s="6">
        <f>IF(C31="","",IF(K31="","",ROUND((K31-J31)/30.44,1)))</f>
        <v/>
      </c>
      <c r="O31" s="7">
        <f>IF(C31="","",IF(K31="","",K31-30))</f>
        <v/>
      </c>
      <c r="P31" s="8">
        <f>IF(C31="","",IF(AND(H31="Xác định thời hạn",K31=""),"Thiếu ngày kết thúc",IF(AND(H31="Thử việc",K31-J31&gt;M31),"Thử việc vượt trần cho phép",IF(AND(H31="Xác định thời hạn",N31&gt;36),"Hợp đồng có hạn vượt 36 tháng",IF(AND(H31="Xác định thời hạn",I31&gt;=2),"Lần sau phải ký không xác định thời hạn","Hợp lệ")))))</f>
        <v/>
      </c>
    </row>
  </sheetData>
  <autoFilter ref="A1:P31"/>
  <dataValidations count="4">
    <dataValidation sqref="D2:D31" showDropDown="0" showInputMessage="0" showErrorMessage="0" allowBlank="1" errorTitle="Sai định dạng" error="Giá trị không hợp lệ cho cột này." type="list">
      <formula1>"Kinh doanh,Kế toán,Nhân sự,Kỹ thuật,Kho vận"</formula1>
    </dataValidation>
    <dataValidation sqref="F2:F31" showDropDown="0" showInputMessage="0" showErrorMessage="0" allowBlank="1" errorTitle="Sai định dạng" error="Giá trị không hợp lệ cho cột này." type="list">
      <formula1>"Quản lý doanh nghiệp,Trình độ đại học trở lên,Trung cấp và công nhân kỹ thuật,Công việc khác"</formula1>
    </dataValidation>
    <dataValidation sqref="H2:H31" showDropDown="0" showInputMessage="0" showErrorMessage="0" allowBlank="1" errorTitle="Sai định dạng" error="Giá trị không hợp lệ cho cột này." type="list">
      <formula1>"Thử việc,Xác định thời hạn,Không xác định thời hạn"</formula1>
    </dataValidation>
    <dataValidation sqref="I2:I31" showDropDown="0" showInputMessage="0" showErrorMessage="0" allowBlank="1" errorTitle="Sai định dạng" error="Giá trị không hợp lệ cho cột này." type="whole" operator="between">
      <formula1>1</formula1>
      <formula2>10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9" t="inlineStr">
        <is>
          <t>Mẫu Excel theo dõi hợp đồng lao động, tự cảnh báo bốn lỗi thường gặp</t>
        </is>
      </c>
    </row>
    <row r="2">
      <c r="B2" s="10" t="inlineStr"/>
    </row>
    <row r="3">
      <c r="B3" s="11" t="inlineStr">
        <is>
          <t>CÁCH DÙNG</t>
        </is>
      </c>
    </row>
    <row r="4">
      <c r="B4" s="12" t="inlineStr">
        <is>
          <t>1. Chọn nhóm chức danh trước khi nhập ngày thử việc</t>
        </is>
      </c>
    </row>
    <row r="5">
      <c r="B5" s="10" t="inlineStr">
        <is>
          <t xml:space="preserve">   Trần thử việc phụ thuộc nhóm chức danh chứ không phải một con số chung: 180 ngày cho người quản lý doanh nghiệp, 60 ngày cho công việc cần trình độ đại học trở lên, 30 ngày cho trình độ trung cấp và công nhân kỹ thuật, 6 ngày làm việc cho các công việc còn lại. Bỏ trống cột này thì file lấy mức 6 ngày, tức mức chặt nhất, để cảnh báo thà nhạy hơn là bỏ sót.</t>
        </is>
      </c>
    </row>
    <row r="6">
      <c r="B6" s="12" t="inlineStr">
        <is>
          <t>2. Ghi một dòng cho mỗi lần ký, không sửa dòng cũ</t>
        </is>
      </c>
    </row>
    <row r="7">
      <c r="B7" s="10" t="inlineStr">
        <is>
          <t xml:space="preserve">   Gia hạn hợp đồng là ký một hợp đồng mới, nên thêm dòng mới và tăng số ở cột Lần ký. Sửa thẳng ngày kết thúc trên dòng cũ thì mất lịch sử, và bạn không còn cách nào biết người đó đã ký mấy lần có thời hạn — chính là con số quyết định lần sau bắt buộc phải ký loại nào.</t>
        </is>
      </c>
    </row>
    <row r="8">
      <c r="B8" s="12" t="inlineStr">
        <is>
          <t>3. Để trống ngày kết thúc với hợp đồng không xác định thời hạn</t>
        </is>
      </c>
    </row>
    <row r="9">
      <c r="B9" s="10" t="inlineStr">
        <is>
          <t xml:space="preserve">   Loại không xác định thời hạn thì không có ngày kết thúc, để trống là đúng. Các cột tính tự nhận biết và trả về rỗng thay vì tính ra một con số vô nghĩa. Ngược lại, chọn loại xác định thời hạn mà quên ngày kết thúc thì cột Cảnh báo báo thiếu ngày ngay.</t>
        </is>
      </c>
    </row>
    <row r="10">
      <c r="B10" s="12" t="inlineStr">
        <is>
          <t>4. Sắp xếp theo cột Ngày cần báo trước để lên việc hằng tuần</t>
        </is>
      </c>
    </row>
    <row r="11">
      <c r="B11" s="10" t="inlineStr">
        <is>
          <t xml:space="preserve">   Cột này là ngày kết thúc trừ 30 ngày. Sắp tăng dần rồi lọc bỏ dòng trống là ra thứ tự việc phải làm. Luật buộc thông báo bằng văn bản trước ít nhất 15 ngày về thời điểm chấm dứt, nhưng thực tế nên để 30 ngày để còn kịp thương lượng gia hạn hoặc tuyển người thay.</t>
        </is>
      </c>
    </row>
    <row r="12">
      <c r="B12" s="12" t="inlineStr">
        <is>
          <t>5. Rà cột Cảnh báo trước mỗi kỳ báo cáo nhân sự</t>
        </is>
      </c>
    </row>
    <row r="13">
      <c r="B13" s="10" t="inlineStr">
        <is>
          <t xml:space="preserve">   Lọc cột Cảnh báo bỏ giá trị Hợp lệ là ra danh sách hồ sơ có vấn đề. Cột này không bao giờ để trống: hồ sơ không có vấn đề thì ghi rõ Hợp lệ, nhờ vậy ô trống luôn có nghĩa là dòng chưa điền xong. Xử lý xong thì cảnh báo tự mất vì nó tính từ dữ liệu chứ không phải một ô tích tay, nên không có chuyện ai đó tắt cảnh báo cho gọn bảng.</t>
        </is>
      </c>
    </row>
    <row r="14">
      <c r="B14" s="10" t="inlineStr"/>
    </row>
    <row r="15">
      <c r="B15" s="11" t="inlineStr">
        <is>
          <t>CÔNG THỨC TRONG FILE</t>
        </is>
      </c>
    </row>
    <row r="16">
      <c r="B16" s="12" t="inlineStr">
        <is>
          <t>Trần thử việc (ngày)  —  =IF(C2="","",IF(F2="Quản lý doanh nghiệp",180,IF(F2="Trình độ đại học trở lên",60,IF(F2="Trung cấp và công nhân kỹ thuật",30,6))))</t>
        </is>
      </c>
    </row>
    <row r="17">
      <c r="B17" s="10" t="inlineStr">
        <is>
          <t xml:space="preserve">   Bốn mức trần thử việc theo Bộ luật Lao động, chọn theo nhóm chức danh. Nhánh cuối trả về 6 nên bỏ trống nhóm chức danh sẽ lấy mức chặt nhất — cảnh báo thà nhạy hơn là bỏ sót một hợp đồng thử việc trái luật.</t>
        </is>
      </c>
    </row>
    <row r="18">
      <c r="B18" s="12" t="inlineStr">
        <is>
          <t>Thời hạn (tháng)  —  =IF(C2="","",IF(K2="","",ROUND((K2-J2)/30.44,1)))</t>
        </is>
      </c>
    </row>
    <row r="19">
      <c r="B19" s="10" t="inlineStr">
        <is>
          <t xml:space="preserve">   Hai ngày trừ nhau ra số ngày, chia 30,44 là số ngày bình quân một tháng nên hợp đồng đúng 36 tháng ra đúng 36 chứ không ra 36,5. Hợp đồng không xác định thời hạn để trống ngày kết thúc nên cột này trả về rỗng.</t>
        </is>
      </c>
    </row>
    <row r="20">
      <c r="B20" s="12" t="inlineStr">
        <is>
          <t>Ngày cần báo trước  —  =IF(C2="","",IF(K2="","",K2-30))</t>
        </is>
      </c>
    </row>
    <row r="21">
      <c r="B21" s="10" t="inlineStr">
        <is>
          <t xml:space="preserve">   Ngày kết thúc trừ 30 ngày. Luật buộc thông báo bằng văn bản trước ít nhất 15 ngày, nhưng để 30 ngày mới còn kịp thương lượng gia hạn hoặc tuyển người thay. Sắp xếp tăng dần theo cột này là ra danh sách việc phải làm.</t>
        </is>
      </c>
    </row>
    <row r="22">
      <c r="B22" s="12" t="inlineStr">
        <is>
          <t>Cảnh báo  —  =IF(C2="","",IF(AND(H2="Xác định thời hạn",K2=""),"Thiếu ngày kết thúc",IF(AND(H2="Thử việc",K2-J2&gt;M2),"Thử việc vượt trần cho phép",IF(AND(H2="Xác định thời hạn",N2&gt;36),"Hợp đồng có hạn vượt 36 tháng",IF(AND(H2="Xác định thời hạn",I2&gt;=2),"Lần sau phải ký không xác định thời hạn","Hợp lệ")))))</t>
        </is>
      </c>
    </row>
    <row r="23">
      <c r="B23" s="10" t="inlineStr">
        <is>
          <t xml:space="preserve">   Bốn nhánh IF xếp theo mức nghiêm trọng giảm dần, mỗi dòng chỉ hiện cảnh báo đầu tiên gặp phải. Thứ tự này có chủ ý: thiếu ngày kết thúc phải sửa trước vì mọi cột tính khác đều dựa vào nó. Nhánh cuối ghi Hợp lệ chứ không để trống, vì ô trống thì không phân biệt được hồ sơ đã soát mà không có vấn đề với hồ sơ chưa soát. Cảnh báo tự mất khi dữ liệu được sửa, không phải ô tích tay nên không ai tắt được cho gọn bảng.</t>
        </is>
      </c>
    </row>
    <row r="24">
      <c r="B24" s="10" t="inlineStr"/>
    </row>
    <row r="25">
      <c r="B25" s="12" t="inlineStr">
        <is>
          <t>Bản cập nhật mới nhất và hướng dẫn chi tiết:</t>
        </is>
      </c>
    </row>
    <row r="26">
      <c r="B26" s="13" t="inlineStr">
        <is>
          <t>https://excel.nguyenvietloc.com/mau-excel/nhan-su/bang-theo-doi-hop-dong-lao-dong</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2026-08-10T13:56:11Z</dcterms:created>
  <dcterms:modified xsi:type="dcterms:W3CDTF">2026-08-10T13:56:11Z</dcterms:modified>
</cp:coreProperties>
</file>