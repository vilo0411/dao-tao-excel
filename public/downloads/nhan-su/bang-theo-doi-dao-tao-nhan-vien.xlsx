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ào tạo nội bộ" sheetId="1" state="visible" r:id="rId1"/>
    <sheet name="Hướng dẫn" sheetId="2" state="visible" r:id="rId2"/>
  </sheets>
  <definedNames>
    <definedName name="_xlnm._FilterDatabase" localSheetId="0" hidden="1">'Đào tạo nội bộ'!$A$1:$P$36</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heo-doi-dao-tao-nhan-vien" TargetMode="External" Id="rId1" /></Relationships>
</file>

<file path=xl/worksheets/sheet1.xml><?xml version="1.0" encoding="utf-8"?>
<worksheet xmlns="http://schemas.openxmlformats.org/spreadsheetml/2006/main">
  <sheetPr>
    <outlinePr summaryBelow="1" summaryRight="1"/>
    <pageSetUpPr/>
  </sheetPr>
  <dimension ref="A1:P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6" customWidth="1" min="4" max="4"/>
    <col width="34" customWidth="1" min="5" max="5"/>
    <col width="16" customWidth="1" min="6" max="6"/>
    <col width="14" customWidth="1" min="7" max="7"/>
    <col width="14" customWidth="1" min="8" max="8"/>
    <col width="10" customWidth="1" min="9" max="9"/>
    <col width="17" customWidth="1" min="10" max="10"/>
    <col width="15" customWidth="1" min="11" max="11"/>
    <col width="14" customWidth="1" min="12" max="12"/>
    <col width="14" customWidth="1" min="13" max="13"/>
    <col width="16" customWidth="1" min="14" max="14"/>
    <col width="15" customWidth="1" min="15" max="15"/>
    <col width="16" customWidth="1" min="16" max="16"/>
  </cols>
  <sheetData>
    <row r="1" ht="32" customHeight="1">
      <c r="A1" s="1" t="inlineStr">
        <is>
          <t>STT</t>
        </is>
      </c>
      <c r="B1" s="1" t="inlineStr">
        <is>
          <t>Mã NV</t>
        </is>
      </c>
      <c r="C1" s="1" t="inlineStr">
        <is>
          <t>Họ và tên</t>
        </is>
      </c>
      <c r="D1" s="1" t="inlineStr">
        <is>
          <t>Bộ phận</t>
        </is>
      </c>
      <c r="E1" s="1" t="inlineStr">
        <is>
          <t>Tên khóa học</t>
        </is>
      </c>
      <c r="F1" s="1" t="inlineStr">
        <is>
          <t>Hình thức</t>
        </is>
      </c>
      <c r="G1" s="1" t="inlineStr">
        <is>
          <t>Ngày bắt đầu</t>
        </is>
      </c>
      <c r="H1" s="1" t="inlineStr">
        <is>
          <t>Ngày kết thúc</t>
        </is>
      </c>
      <c r="I1" s="1" t="inlineStr">
        <is>
          <t>Số giờ</t>
        </is>
      </c>
      <c r="J1" s="1" t="inlineStr">
        <is>
          <t>Chi phí một người</t>
        </is>
      </c>
      <c r="K1" s="1" t="inlineStr">
        <is>
          <t>Trạng thái</t>
        </is>
      </c>
      <c r="L1" s="1" t="inlineStr">
        <is>
          <t>Điểm kiểm tra</t>
        </is>
      </c>
      <c r="M1" s="1" t="inlineStr">
        <is>
          <t>Giờ được tính</t>
        </is>
      </c>
      <c r="N1" s="1" t="inlineStr">
        <is>
          <t>Chi phí một giờ</t>
        </is>
      </c>
      <c r="O1" s="1" t="inlineStr">
        <is>
          <t>Chi phí bỏ dở</t>
        </is>
      </c>
      <c r="P1" s="1" t="inlineStr">
        <is>
          <t>Kết quả</t>
        </is>
      </c>
    </row>
    <row r="2">
      <c r="A2" s="2" t="n">
        <v>1</v>
      </c>
      <c r="B2" s="3" t="inlineStr">
        <is>
          <t>NV001</t>
        </is>
      </c>
      <c r="C2" s="3" t="inlineStr">
        <is>
          <t>Nguyễn Thị Mai</t>
        </is>
      </c>
      <c r="D2" s="3" t="inlineStr">
        <is>
          <t>Kinh doanh</t>
        </is>
      </c>
      <c r="E2" s="3" t="inlineStr">
        <is>
          <t>Kỹ năng đàm phán với khách hàng lớn</t>
        </is>
      </c>
      <c r="F2" s="3" t="inlineStr">
        <is>
          <t>Bên ngoài</t>
        </is>
      </c>
      <c r="G2" s="4" t="n">
        <v>46153</v>
      </c>
      <c r="H2" s="4" t="n">
        <v>46155</v>
      </c>
      <c r="I2" s="2" t="n">
        <v>18</v>
      </c>
      <c r="J2" s="5" t="n">
        <v>4500000</v>
      </c>
      <c r="K2" s="3" t="inlineStr">
        <is>
          <t>Hoàn thành</t>
        </is>
      </c>
      <c r="L2" s="2" t="n">
        <v>8.5</v>
      </c>
      <c r="M2" s="6">
        <f>IF(C2="","",IF(K2="Hoàn thành",I2,0))</f>
        <v/>
      </c>
      <c r="N2" s="7">
        <f>IF(C2="","",IFERROR(ROUND(J2/M2,0),0))</f>
        <v/>
      </c>
      <c r="O2" s="7">
        <f>IF(C2="","",IF(K2="Bỏ dở",J2,0))</f>
        <v/>
      </c>
      <c r="P2" s="8">
        <f>IF(C2="","",IF(K2&lt;&gt;"Hoàn thành",K2,IF(L2="","Không kiểm tra",IF(L2&gt;=7,"Đạt","Chưa đạt"))))</f>
        <v/>
      </c>
    </row>
    <row r="3">
      <c r="A3" s="2" t="n">
        <v>2</v>
      </c>
      <c r="B3" s="3" t="inlineStr">
        <is>
          <t>NV003</t>
        </is>
      </c>
      <c r="C3" s="3" t="inlineStr">
        <is>
          <t>Lê Thu Hà</t>
        </is>
      </c>
      <c r="D3" s="3" t="inlineStr">
        <is>
          <t>Kế toán</t>
        </is>
      </c>
      <c r="E3" s="3" t="inlineStr">
        <is>
          <t>Cập nhật chính sách thuế và bảo hiểm 2026</t>
        </is>
      </c>
      <c r="F3" s="3" t="inlineStr">
        <is>
          <t>Nội bộ</t>
        </is>
      </c>
      <c r="G3" s="4" t="n">
        <v>46175</v>
      </c>
      <c r="H3" s="4" t="n">
        <v>46175</v>
      </c>
      <c r="I3" s="2" t="n">
        <v>4</v>
      </c>
      <c r="J3" s="5" t="n">
        <v>800000</v>
      </c>
      <c r="K3" s="3" t="inlineStr">
        <is>
          <t>Hoàn thành</t>
        </is>
      </c>
      <c r="L3" s="2" t="n">
        <v>6.5</v>
      </c>
      <c r="M3" s="6">
        <f>IF(C3="","",IF(K3="Hoàn thành",I3,0))</f>
        <v/>
      </c>
      <c r="N3" s="7">
        <f>IF(C3="","",IFERROR(ROUND(J3/M3,0),0))</f>
        <v/>
      </c>
      <c r="O3" s="7">
        <f>IF(C3="","",IF(K3="Bỏ dở",J3,0))</f>
        <v/>
      </c>
      <c r="P3" s="8">
        <f>IF(C3="","",IF(K3&lt;&gt;"Hoàn thành",K3,IF(L3="","Không kiểm tra",IF(L3&gt;=7,"Đạt","Chưa đạt"))))</f>
        <v/>
      </c>
    </row>
    <row r="4">
      <c r="A4" s="2" t="n">
        <v>3</v>
      </c>
      <c r="B4" s="3" t="inlineStr">
        <is>
          <t>NV002</t>
        </is>
      </c>
      <c r="C4" s="3" t="inlineStr">
        <is>
          <t>Trần Văn Hùng</t>
        </is>
      </c>
      <c r="D4" s="3" t="inlineStr">
        <is>
          <t>Kỹ thuật</t>
        </is>
      </c>
      <c r="E4" s="3" t="inlineStr">
        <is>
          <t>An toàn lao động định kỳ</t>
        </is>
      </c>
      <c r="F4" s="3" t="inlineStr">
        <is>
          <t>Nội bộ</t>
        </is>
      </c>
      <c r="G4" s="4" t="n">
        <v>46097</v>
      </c>
      <c r="H4" s="4" t="n">
        <v>46097</v>
      </c>
      <c r="I4" s="2" t="n">
        <v>8</v>
      </c>
      <c r="J4" s="5" t="n">
        <v>600000</v>
      </c>
      <c r="K4" s="3" t="inlineStr">
        <is>
          <t>Hoàn thành</t>
        </is>
      </c>
      <c r="L4" s="2" t="n"/>
      <c r="M4" s="6">
        <f>IF(C4="","",IF(K4="Hoàn thành",I4,0))</f>
        <v/>
      </c>
      <c r="N4" s="7">
        <f>IF(C4="","",IFERROR(ROUND(J4/M4,0),0))</f>
        <v/>
      </c>
      <c r="O4" s="7">
        <f>IF(C4="","",IF(K4="Bỏ dở",J4,0))</f>
        <v/>
      </c>
      <c r="P4" s="8">
        <f>IF(C4="","",IF(K4&lt;&gt;"Hoàn thành",K4,IF(L4="","Không kiểm tra",IF(L4&gt;=7,"Đạt","Chưa đạt"))))</f>
        <v/>
      </c>
    </row>
    <row r="5">
      <c r="A5" s="2" t="n">
        <v>4</v>
      </c>
      <c r="B5" s="3" t="inlineStr">
        <is>
          <t>NV004</t>
        </is>
      </c>
      <c r="C5" s="3" t="inlineStr">
        <is>
          <t>Phạm Minh Đức</t>
        </is>
      </c>
      <c r="D5" s="3" t="inlineStr">
        <is>
          <t>Kho vận</t>
        </is>
      </c>
      <c r="E5" s="3" t="inlineStr">
        <is>
          <t>Vận hành hệ thống quản lý kho mới</t>
        </is>
      </c>
      <c r="F5" s="3" t="inlineStr">
        <is>
          <t>E-learning</t>
        </is>
      </c>
      <c r="G5" s="4" t="n">
        <v>46188</v>
      </c>
      <c r="H5" s="4" t="n">
        <v>46218</v>
      </c>
      <c r="I5" s="2" t="n">
        <v>20</v>
      </c>
      <c r="J5" s="5" t="n">
        <v>2000000</v>
      </c>
      <c r="K5" s="3" t="inlineStr">
        <is>
          <t>Bỏ dở</t>
        </is>
      </c>
      <c r="L5" s="2" t="n"/>
      <c r="M5" s="6">
        <f>IF(C5="","",IF(K5="Hoàn thành",I5,0))</f>
        <v/>
      </c>
      <c r="N5" s="7">
        <f>IF(C5="","",IFERROR(ROUND(J5/M5,0),0))</f>
        <v/>
      </c>
      <c r="O5" s="7">
        <f>IF(C5="","",IF(K5="Bỏ dở",J5,0))</f>
        <v/>
      </c>
      <c r="P5" s="8">
        <f>IF(C5="","",IF(K5&lt;&gt;"Hoàn thành",K5,IF(L5="","Không kiểm tra",IF(L5&gt;=7,"Đạt","Chưa đạt"))))</f>
        <v/>
      </c>
    </row>
    <row r="6">
      <c r="A6" s="2" t="n">
        <v>5</v>
      </c>
      <c r="B6" s="3" t="inlineStr">
        <is>
          <t>NV005</t>
        </is>
      </c>
      <c r="C6" s="3" t="inlineStr">
        <is>
          <t>Hoàng Thị Lan</t>
        </is>
      </c>
      <c r="D6" s="3" t="inlineStr">
        <is>
          <t>Nhân sự</t>
        </is>
      </c>
      <c r="E6" s="3" t="inlineStr">
        <is>
          <t>Luật lao động cho người làm nhân sự</t>
        </is>
      </c>
      <c r="F6" s="3" t="inlineStr">
        <is>
          <t>Bên ngoài</t>
        </is>
      </c>
      <c r="G6" s="4" t="n">
        <v>46223</v>
      </c>
      <c r="H6" s="4" t="n">
        <v>46227</v>
      </c>
      <c r="I6" s="2" t="n">
        <v>24</v>
      </c>
      <c r="J6" s="5" t="n">
        <v>6000000</v>
      </c>
      <c r="K6" s="3" t="inlineStr">
        <is>
          <t>Đang học</t>
        </is>
      </c>
      <c r="L6" s="2" t="n"/>
      <c r="M6" s="6">
        <f>IF(C6="","",IF(K6="Hoàn thành",I6,0))</f>
        <v/>
      </c>
      <c r="N6" s="7">
        <f>IF(C6="","",IFERROR(ROUND(J6/M6,0),0))</f>
        <v/>
      </c>
      <c r="O6" s="7">
        <f>IF(C6="","",IF(K6="Bỏ dở",J6,0))</f>
        <v/>
      </c>
      <c r="P6" s="8">
        <f>IF(C6="","",IF(K6&lt;&gt;"Hoàn thành",K6,IF(L6="","Không kiểm tra",IF(L6&gt;=7,"Đạt","Chưa đạt"))))</f>
        <v/>
      </c>
    </row>
    <row r="7">
      <c r="A7" s="2" t="n"/>
      <c r="B7" s="3" t="n"/>
      <c r="C7" s="3" t="n"/>
      <c r="D7" s="3" t="n"/>
      <c r="E7" s="3" t="n"/>
      <c r="F7" s="3" t="n"/>
      <c r="G7" s="4" t="n"/>
      <c r="H7" s="4" t="n"/>
      <c r="I7" s="2" t="n"/>
      <c r="J7" s="5" t="n"/>
      <c r="K7" s="3" t="n"/>
      <c r="L7" s="2" t="n"/>
      <c r="M7" s="6">
        <f>IF(C7="","",IF(K7="Hoàn thành",I7,0))</f>
        <v/>
      </c>
      <c r="N7" s="7">
        <f>IF(C7="","",IFERROR(ROUND(J7/M7,0),0))</f>
        <v/>
      </c>
      <c r="O7" s="7">
        <f>IF(C7="","",IF(K7="Bỏ dở",J7,0))</f>
        <v/>
      </c>
      <c r="P7" s="8">
        <f>IF(C7="","",IF(K7&lt;&gt;"Hoàn thành",K7,IF(L7="","Không kiểm tra",IF(L7&gt;=7,"Đạt","Chưa đạt"))))</f>
        <v/>
      </c>
    </row>
    <row r="8">
      <c r="A8" s="2" t="n"/>
      <c r="B8" s="3" t="n"/>
      <c r="C8" s="3" t="n"/>
      <c r="D8" s="3" t="n"/>
      <c r="E8" s="3" t="n"/>
      <c r="F8" s="3" t="n"/>
      <c r="G8" s="4" t="n"/>
      <c r="H8" s="4" t="n"/>
      <c r="I8" s="2" t="n"/>
      <c r="J8" s="5" t="n"/>
      <c r="K8" s="3" t="n"/>
      <c r="L8" s="2" t="n"/>
      <c r="M8" s="6">
        <f>IF(C8="","",IF(K8="Hoàn thành",I8,0))</f>
        <v/>
      </c>
      <c r="N8" s="7">
        <f>IF(C8="","",IFERROR(ROUND(J8/M8,0),0))</f>
        <v/>
      </c>
      <c r="O8" s="7">
        <f>IF(C8="","",IF(K8="Bỏ dở",J8,0))</f>
        <v/>
      </c>
      <c r="P8" s="8">
        <f>IF(C8="","",IF(K8&lt;&gt;"Hoàn thành",K8,IF(L8="","Không kiểm tra",IF(L8&gt;=7,"Đạt","Chưa đạt"))))</f>
        <v/>
      </c>
    </row>
    <row r="9">
      <c r="A9" s="2" t="n"/>
      <c r="B9" s="3" t="n"/>
      <c r="C9" s="3" t="n"/>
      <c r="D9" s="3" t="n"/>
      <c r="E9" s="3" t="n"/>
      <c r="F9" s="3" t="n"/>
      <c r="G9" s="4" t="n"/>
      <c r="H9" s="4" t="n"/>
      <c r="I9" s="2" t="n"/>
      <c r="J9" s="5" t="n"/>
      <c r="K9" s="3" t="n"/>
      <c r="L9" s="2" t="n"/>
      <c r="M9" s="6">
        <f>IF(C9="","",IF(K9="Hoàn thành",I9,0))</f>
        <v/>
      </c>
      <c r="N9" s="7">
        <f>IF(C9="","",IFERROR(ROUND(J9/M9,0),0))</f>
        <v/>
      </c>
      <c r="O9" s="7">
        <f>IF(C9="","",IF(K9="Bỏ dở",J9,0))</f>
        <v/>
      </c>
      <c r="P9" s="8">
        <f>IF(C9="","",IF(K9&lt;&gt;"Hoàn thành",K9,IF(L9="","Không kiểm tra",IF(L9&gt;=7,"Đạt","Chưa đạt"))))</f>
        <v/>
      </c>
    </row>
    <row r="10">
      <c r="A10" s="2" t="n"/>
      <c r="B10" s="3" t="n"/>
      <c r="C10" s="3" t="n"/>
      <c r="D10" s="3" t="n"/>
      <c r="E10" s="3" t="n"/>
      <c r="F10" s="3" t="n"/>
      <c r="G10" s="4" t="n"/>
      <c r="H10" s="4" t="n"/>
      <c r="I10" s="2" t="n"/>
      <c r="J10" s="5" t="n"/>
      <c r="K10" s="3" t="n"/>
      <c r="L10" s="2" t="n"/>
      <c r="M10" s="6">
        <f>IF(C10="","",IF(K10="Hoàn thành",I10,0))</f>
        <v/>
      </c>
      <c r="N10" s="7">
        <f>IF(C10="","",IFERROR(ROUND(J10/M10,0),0))</f>
        <v/>
      </c>
      <c r="O10" s="7">
        <f>IF(C10="","",IF(K10="Bỏ dở",J10,0))</f>
        <v/>
      </c>
      <c r="P10" s="8">
        <f>IF(C10="","",IF(K10&lt;&gt;"Hoàn thành",K10,IF(L10="","Không kiểm tra",IF(L10&gt;=7,"Đạt","Chưa đạt"))))</f>
        <v/>
      </c>
    </row>
    <row r="11">
      <c r="A11" s="2" t="n"/>
      <c r="B11" s="3" t="n"/>
      <c r="C11" s="3" t="n"/>
      <c r="D11" s="3" t="n"/>
      <c r="E11" s="3" t="n"/>
      <c r="F11" s="3" t="n"/>
      <c r="G11" s="4" t="n"/>
      <c r="H11" s="4" t="n"/>
      <c r="I11" s="2" t="n"/>
      <c r="J11" s="5" t="n"/>
      <c r="K11" s="3" t="n"/>
      <c r="L11" s="2" t="n"/>
      <c r="M11" s="6">
        <f>IF(C11="","",IF(K11="Hoàn thành",I11,0))</f>
        <v/>
      </c>
      <c r="N11" s="7">
        <f>IF(C11="","",IFERROR(ROUND(J11/M11,0),0))</f>
        <v/>
      </c>
      <c r="O11" s="7">
        <f>IF(C11="","",IF(K11="Bỏ dở",J11,0))</f>
        <v/>
      </c>
      <c r="P11" s="8">
        <f>IF(C11="","",IF(K11&lt;&gt;"Hoàn thành",K11,IF(L11="","Không kiểm tra",IF(L11&gt;=7,"Đạt","Chưa đạt"))))</f>
        <v/>
      </c>
    </row>
    <row r="12">
      <c r="A12" s="2" t="n"/>
      <c r="B12" s="3" t="n"/>
      <c r="C12" s="3" t="n"/>
      <c r="D12" s="3" t="n"/>
      <c r="E12" s="3" t="n"/>
      <c r="F12" s="3" t="n"/>
      <c r="G12" s="4" t="n"/>
      <c r="H12" s="4" t="n"/>
      <c r="I12" s="2" t="n"/>
      <c r="J12" s="5" t="n"/>
      <c r="K12" s="3" t="n"/>
      <c r="L12" s="2" t="n"/>
      <c r="M12" s="6">
        <f>IF(C12="","",IF(K12="Hoàn thành",I12,0))</f>
        <v/>
      </c>
      <c r="N12" s="7">
        <f>IF(C12="","",IFERROR(ROUND(J12/M12,0),0))</f>
        <v/>
      </c>
      <c r="O12" s="7">
        <f>IF(C12="","",IF(K12="Bỏ dở",J12,0))</f>
        <v/>
      </c>
      <c r="P12" s="8">
        <f>IF(C12="","",IF(K12&lt;&gt;"Hoàn thành",K12,IF(L12="","Không kiểm tra",IF(L12&gt;=7,"Đạt","Chưa đạt"))))</f>
        <v/>
      </c>
    </row>
    <row r="13">
      <c r="A13" s="2" t="n"/>
      <c r="B13" s="3" t="n"/>
      <c r="C13" s="3" t="n"/>
      <c r="D13" s="3" t="n"/>
      <c r="E13" s="3" t="n"/>
      <c r="F13" s="3" t="n"/>
      <c r="G13" s="4" t="n"/>
      <c r="H13" s="4" t="n"/>
      <c r="I13" s="2" t="n"/>
      <c r="J13" s="5" t="n"/>
      <c r="K13" s="3" t="n"/>
      <c r="L13" s="2" t="n"/>
      <c r="M13" s="6">
        <f>IF(C13="","",IF(K13="Hoàn thành",I13,0))</f>
        <v/>
      </c>
      <c r="N13" s="7">
        <f>IF(C13="","",IFERROR(ROUND(J13/M13,0),0))</f>
        <v/>
      </c>
      <c r="O13" s="7">
        <f>IF(C13="","",IF(K13="Bỏ dở",J13,0))</f>
        <v/>
      </c>
      <c r="P13" s="8">
        <f>IF(C13="","",IF(K13&lt;&gt;"Hoàn thành",K13,IF(L13="","Không kiểm tra",IF(L13&gt;=7,"Đạt","Chưa đạt"))))</f>
        <v/>
      </c>
    </row>
    <row r="14">
      <c r="A14" s="2" t="n"/>
      <c r="B14" s="3" t="n"/>
      <c r="C14" s="3" t="n"/>
      <c r="D14" s="3" t="n"/>
      <c r="E14" s="3" t="n"/>
      <c r="F14" s="3" t="n"/>
      <c r="G14" s="4" t="n"/>
      <c r="H14" s="4" t="n"/>
      <c r="I14" s="2" t="n"/>
      <c r="J14" s="5" t="n"/>
      <c r="K14" s="3" t="n"/>
      <c r="L14" s="2" t="n"/>
      <c r="M14" s="6">
        <f>IF(C14="","",IF(K14="Hoàn thành",I14,0))</f>
        <v/>
      </c>
      <c r="N14" s="7">
        <f>IF(C14="","",IFERROR(ROUND(J14/M14,0),0))</f>
        <v/>
      </c>
      <c r="O14" s="7">
        <f>IF(C14="","",IF(K14="Bỏ dở",J14,0))</f>
        <v/>
      </c>
      <c r="P14" s="8">
        <f>IF(C14="","",IF(K14&lt;&gt;"Hoàn thành",K14,IF(L14="","Không kiểm tra",IF(L14&gt;=7,"Đạt","Chưa đạt"))))</f>
        <v/>
      </c>
    </row>
    <row r="15">
      <c r="A15" s="2" t="n"/>
      <c r="B15" s="3" t="n"/>
      <c r="C15" s="3" t="n"/>
      <c r="D15" s="3" t="n"/>
      <c r="E15" s="3" t="n"/>
      <c r="F15" s="3" t="n"/>
      <c r="G15" s="4" t="n"/>
      <c r="H15" s="4" t="n"/>
      <c r="I15" s="2" t="n"/>
      <c r="J15" s="5" t="n"/>
      <c r="K15" s="3" t="n"/>
      <c r="L15" s="2" t="n"/>
      <c r="M15" s="6">
        <f>IF(C15="","",IF(K15="Hoàn thành",I15,0))</f>
        <v/>
      </c>
      <c r="N15" s="7">
        <f>IF(C15="","",IFERROR(ROUND(J15/M15,0),0))</f>
        <v/>
      </c>
      <c r="O15" s="7">
        <f>IF(C15="","",IF(K15="Bỏ dở",J15,0))</f>
        <v/>
      </c>
      <c r="P15" s="8">
        <f>IF(C15="","",IF(K15&lt;&gt;"Hoàn thành",K15,IF(L15="","Không kiểm tra",IF(L15&gt;=7,"Đạt","Chưa đạt"))))</f>
        <v/>
      </c>
    </row>
    <row r="16">
      <c r="A16" s="2" t="n"/>
      <c r="B16" s="3" t="n"/>
      <c r="C16" s="3" t="n"/>
      <c r="D16" s="3" t="n"/>
      <c r="E16" s="3" t="n"/>
      <c r="F16" s="3" t="n"/>
      <c r="G16" s="4" t="n"/>
      <c r="H16" s="4" t="n"/>
      <c r="I16" s="2" t="n"/>
      <c r="J16" s="5" t="n"/>
      <c r="K16" s="3" t="n"/>
      <c r="L16" s="2" t="n"/>
      <c r="M16" s="6">
        <f>IF(C16="","",IF(K16="Hoàn thành",I16,0))</f>
        <v/>
      </c>
      <c r="N16" s="7">
        <f>IF(C16="","",IFERROR(ROUND(J16/M16,0),0))</f>
        <v/>
      </c>
      <c r="O16" s="7">
        <f>IF(C16="","",IF(K16="Bỏ dở",J16,0))</f>
        <v/>
      </c>
      <c r="P16" s="8">
        <f>IF(C16="","",IF(K16&lt;&gt;"Hoàn thành",K16,IF(L16="","Không kiểm tra",IF(L16&gt;=7,"Đạt","Chưa đạt"))))</f>
        <v/>
      </c>
    </row>
    <row r="17">
      <c r="A17" s="2" t="n"/>
      <c r="B17" s="3" t="n"/>
      <c r="C17" s="3" t="n"/>
      <c r="D17" s="3" t="n"/>
      <c r="E17" s="3" t="n"/>
      <c r="F17" s="3" t="n"/>
      <c r="G17" s="4" t="n"/>
      <c r="H17" s="4" t="n"/>
      <c r="I17" s="2" t="n"/>
      <c r="J17" s="5" t="n"/>
      <c r="K17" s="3" t="n"/>
      <c r="L17" s="2" t="n"/>
      <c r="M17" s="6">
        <f>IF(C17="","",IF(K17="Hoàn thành",I17,0))</f>
        <v/>
      </c>
      <c r="N17" s="7">
        <f>IF(C17="","",IFERROR(ROUND(J17/M17,0),0))</f>
        <v/>
      </c>
      <c r="O17" s="7">
        <f>IF(C17="","",IF(K17="Bỏ dở",J17,0))</f>
        <v/>
      </c>
      <c r="P17" s="8">
        <f>IF(C17="","",IF(K17&lt;&gt;"Hoàn thành",K17,IF(L17="","Không kiểm tra",IF(L17&gt;=7,"Đạt","Chưa đạt"))))</f>
        <v/>
      </c>
    </row>
    <row r="18">
      <c r="A18" s="2" t="n"/>
      <c r="B18" s="3" t="n"/>
      <c r="C18" s="3" t="n"/>
      <c r="D18" s="3" t="n"/>
      <c r="E18" s="3" t="n"/>
      <c r="F18" s="3" t="n"/>
      <c r="G18" s="4" t="n"/>
      <c r="H18" s="4" t="n"/>
      <c r="I18" s="2" t="n"/>
      <c r="J18" s="5" t="n"/>
      <c r="K18" s="3" t="n"/>
      <c r="L18" s="2" t="n"/>
      <c r="M18" s="6">
        <f>IF(C18="","",IF(K18="Hoàn thành",I18,0))</f>
        <v/>
      </c>
      <c r="N18" s="7">
        <f>IF(C18="","",IFERROR(ROUND(J18/M18,0),0))</f>
        <v/>
      </c>
      <c r="O18" s="7">
        <f>IF(C18="","",IF(K18="Bỏ dở",J18,0))</f>
        <v/>
      </c>
      <c r="P18" s="8">
        <f>IF(C18="","",IF(K18&lt;&gt;"Hoàn thành",K18,IF(L18="","Không kiểm tra",IF(L18&gt;=7,"Đạt","Chưa đạt"))))</f>
        <v/>
      </c>
    </row>
    <row r="19">
      <c r="A19" s="2" t="n"/>
      <c r="B19" s="3" t="n"/>
      <c r="C19" s="3" t="n"/>
      <c r="D19" s="3" t="n"/>
      <c r="E19" s="3" t="n"/>
      <c r="F19" s="3" t="n"/>
      <c r="G19" s="4" t="n"/>
      <c r="H19" s="4" t="n"/>
      <c r="I19" s="2" t="n"/>
      <c r="J19" s="5" t="n"/>
      <c r="K19" s="3" t="n"/>
      <c r="L19" s="2" t="n"/>
      <c r="M19" s="6">
        <f>IF(C19="","",IF(K19="Hoàn thành",I19,0))</f>
        <v/>
      </c>
      <c r="N19" s="7">
        <f>IF(C19="","",IFERROR(ROUND(J19/M19,0),0))</f>
        <v/>
      </c>
      <c r="O19" s="7">
        <f>IF(C19="","",IF(K19="Bỏ dở",J19,0))</f>
        <v/>
      </c>
      <c r="P19" s="8">
        <f>IF(C19="","",IF(K19&lt;&gt;"Hoàn thành",K19,IF(L19="","Không kiểm tra",IF(L19&gt;=7,"Đạt","Chưa đạt"))))</f>
        <v/>
      </c>
    </row>
    <row r="20">
      <c r="A20" s="2" t="n"/>
      <c r="B20" s="3" t="n"/>
      <c r="C20" s="3" t="n"/>
      <c r="D20" s="3" t="n"/>
      <c r="E20" s="3" t="n"/>
      <c r="F20" s="3" t="n"/>
      <c r="G20" s="4" t="n"/>
      <c r="H20" s="4" t="n"/>
      <c r="I20" s="2" t="n"/>
      <c r="J20" s="5" t="n"/>
      <c r="K20" s="3" t="n"/>
      <c r="L20" s="2" t="n"/>
      <c r="M20" s="6">
        <f>IF(C20="","",IF(K20="Hoàn thành",I20,0))</f>
        <v/>
      </c>
      <c r="N20" s="7">
        <f>IF(C20="","",IFERROR(ROUND(J20/M20,0),0))</f>
        <v/>
      </c>
      <c r="O20" s="7">
        <f>IF(C20="","",IF(K20="Bỏ dở",J20,0))</f>
        <v/>
      </c>
      <c r="P20" s="8">
        <f>IF(C20="","",IF(K20&lt;&gt;"Hoàn thành",K20,IF(L20="","Không kiểm tra",IF(L20&gt;=7,"Đạt","Chưa đạt"))))</f>
        <v/>
      </c>
    </row>
    <row r="21">
      <c r="A21" s="2" t="n"/>
      <c r="B21" s="3" t="n"/>
      <c r="C21" s="3" t="n"/>
      <c r="D21" s="3" t="n"/>
      <c r="E21" s="3" t="n"/>
      <c r="F21" s="3" t="n"/>
      <c r="G21" s="4" t="n"/>
      <c r="H21" s="4" t="n"/>
      <c r="I21" s="2" t="n"/>
      <c r="J21" s="5" t="n"/>
      <c r="K21" s="3" t="n"/>
      <c r="L21" s="2" t="n"/>
      <c r="M21" s="6">
        <f>IF(C21="","",IF(K21="Hoàn thành",I21,0))</f>
        <v/>
      </c>
      <c r="N21" s="7">
        <f>IF(C21="","",IFERROR(ROUND(J21/M21,0),0))</f>
        <v/>
      </c>
      <c r="O21" s="7">
        <f>IF(C21="","",IF(K21="Bỏ dở",J21,0))</f>
        <v/>
      </c>
      <c r="P21" s="8">
        <f>IF(C21="","",IF(K21&lt;&gt;"Hoàn thành",K21,IF(L21="","Không kiểm tra",IF(L21&gt;=7,"Đạt","Chưa đạt"))))</f>
        <v/>
      </c>
    </row>
    <row r="22">
      <c r="A22" s="2" t="n"/>
      <c r="B22" s="3" t="n"/>
      <c r="C22" s="3" t="n"/>
      <c r="D22" s="3" t="n"/>
      <c r="E22" s="3" t="n"/>
      <c r="F22" s="3" t="n"/>
      <c r="G22" s="4" t="n"/>
      <c r="H22" s="4" t="n"/>
      <c r="I22" s="2" t="n"/>
      <c r="J22" s="5" t="n"/>
      <c r="K22" s="3" t="n"/>
      <c r="L22" s="2" t="n"/>
      <c r="M22" s="6">
        <f>IF(C22="","",IF(K22="Hoàn thành",I22,0))</f>
        <v/>
      </c>
      <c r="N22" s="7">
        <f>IF(C22="","",IFERROR(ROUND(J22/M22,0),0))</f>
        <v/>
      </c>
      <c r="O22" s="7">
        <f>IF(C22="","",IF(K22="Bỏ dở",J22,0))</f>
        <v/>
      </c>
      <c r="P22" s="8">
        <f>IF(C22="","",IF(K22&lt;&gt;"Hoàn thành",K22,IF(L22="","Không kiểm tra",IF(L22&gt;=7,"Đạt","Chưa đạt"))))</f>
        <v/>
      </c>
    </row>
    <row r="23">
      <c r="A23" s="2" t="n"/>
      <c r="B23" s="3" t="n"/>
      <c r="C23" s="3" t="n"/>
      <c r="D23" s="3" t="n"/>
      <c r="E23" s="3" t="n"/>
      <c r="F23" s="3" t="n"/>
      <c r="G23" s="4" t="n"/>
      <c r="H23" s="4" t="n"/>
      <c r="I23" s="2" t="n"/>
      <c r="J23" s="5" t="n"/>
      <c r="K23" s="3" t="n"/>
      <c r="L23" s="2" t="n"/>
      <c r="M23" s="6">
        <f>IF(C23="","",IF(K23="Hoàn thành",I23,0))</f>
        <v/>
      </c>
      <c r="N23" s="7">
        <f>IF(C23="","",IFERROR(ROUND(J23/M23,0),0))</f>
        <v/>
      </c>
      <c r="O23" s="7">
        <f>IF(C23="","",IF(K23="Bỏ dở",J23,0))</f>
        <v/>
      </c>
      <c r="P23" s="8">
        <f>IF(C23="","",IF(K23&lt;&gt;"Hoàn thành",K23,IF(L23="","Không kiểm tra",IF(L23&gt;=7,"Đạt","Chưa đạt"))))</f>
        <v/>
      </c>
    </row>
    <row r="24">
      <c r="A24" s="2" t="n"/>
      <c r="B24" s="3" t="n"/>
      <c r="C24" s="3" t="n"/>
      <c r="D24" s="3" t="n"/>
      <c r="E24" s="3" t="n"/>
      <c r="F24" s="3" t="n"/>
      <c r="G24" s="4" t="n"/>
      <c r="H24" s="4" t="n"/>
      <c r="I24" s="2" t="n"/>
      <c r="J24" s="5" t="n"/>
      <c r="K24" s="3" t="n"/>
      <c r="L24" s="2" t="n"/>
      <c r="M24" s="6">
        <f>IF(C24="","",IF(K24="Hoàn thành",I24,0))</f>
        <v/>
      </c>
      <c r="N24" s="7">
        <f>IF(C24="","",IFERROR(ROUND(J24/M24,0),0))</f>
        <v/>
      </c>
      <c r="O24" s="7">
        <f>IF(C24="","",IF(K24="Bỏ dở",J24,0))</f>
        <v/>
      </c>
      <c r="P24" s="8">
        <f>IF(C24="","",IF(K24&lt;&gt;"Hoàn thành",K24,IF(L24="","Không kiểm tra",IF(L24&gt;=7,"Đạt","Chưa đạt"))))</f>
        <v/>
      </c>
    </row>
    <row r="25">
      <c r="A25" s="2" t="n"/>
      <c r="B25" s="3" t="n"/>
      <c r="C25" s="3" t="n"/>
      <c r="D25" s="3" t="n"/>
      <c r="E25" s="3" t="n"/>
      <c r="F25" s="3" t="n"/>
      <c r="G25" s="4" t="n"/>
      <c r="H25" s="4" t="n"/>
      <c r="I25" s="2" t="n"/>
      <c r="J25" s="5" t="n"/>
      <c r="K25" s="3" t="n"/>
      <c r="L25" s="2" t="n"/>
      <c r="M25" s="6">
        <f>IF(C25="","",IF(K25="Hoàn thành",I25,0))</f>
        <v/>
      </c>
      <c r="N25" s="7">
        <f>IF(C25="","",IFERROR(ROUND(J25/M25,0),0))</f>
        <v/>
      </c>
      <c r="O25" s="7">
        <f>IF(C25="","",IF(K25="Bỏ dở",J25,0))</f>
        <v/>
      </c>
      <c r="P25" s="8">
        <f>IF(C25="","",IF(K25&lt;&gt;"Hoàn thành",K25,IF(L25="","Không kiểm tra",IF(L25&gt;=7,"Đạt","Chưa đạt"))))</f>
        <v/>
      </c>
    </row>
    <row r="26">
      <c r="A26" s="2" t="n"/>
      <c r="B26" s="3" t="n"/>
      <c r="C26" s="3" t="n"/>
      <c r="D26" s="3" t="n"/>
      <c r="E26" s="3" t="n"/>
      <c r="F26" s="3" t="n"/>
      <c r="G26" s="4" t="n"/>
      <c r="H26" s="4" t="n"/>
      <c r="I26" s="2" t="n"/>
      <c r="J26" s="5" t="n"/>
      <c r="K26" s="3" t="n"/>
      <c r="L26" s="2" t="n"/>
      <c r="M26" s="6">
        <f>IF(C26="","",IF(K26="Hoàn thành",I26,0))</f>
        <v/>
      </c>
      <c r="N26" s="7">
        <f>IF(C26="","",IFERROR(ROUND(J26/M26,0),0))</f>
        <v/>
      </c>
      <c r="O26" s="7">
        <f>IF(C26="","",IF(K26="Bỏ dở",J26,0))</f>
        <v/>
      </c>
      <c r="P26" s="8">
        <f>IF(C26="","",IF(K26&lt;&gt;"Hoàn thành",K26,IF(L26="","Không kiểm tra",IF(L26&gt;=7,"Đạt","Chưa đạt"))))</f>
        <v/>
      </c>
    </row>
    <row r="27">
      <c r="A27" s="2" t="n"/>
      <c r="B27" s="3" t="n"/>
      <c r="C27" s="3" t="n"/>
      <c r="D27" s="3" t="n"/>
      <c r="E27" s="3" t="n"/>
      <c r="F27" s="3" t="n"/>
      <c r="G27" s="4" t="n"/>
      <c r="H27" s="4" t="n"/>
      <c r="I27" s="2" t="n"/>
      <c r="J27" s="5" t="n"/>
      <c r="K27" s="3" t="n"/>
      <c r="L27" s="2" t="n"/>
      <c r="M27" s="6">
        <f>IF(C27="","",IF(K27="Hoàn thành",I27,0))</f>
        <v/>
      </c>
      <c r="N27" s="7">
        <f>IF(C27="","",IFERROR(ROUND(J27/M27,0),0))</f>
        <v/>
      </c>
      <c r="O27" s="7">
        <f>IF(C27="","",IF(K27="Bỏ dở",J27,0))</f>
        <v/>
      </c>
      <c r="P27" s="8">
        <f>IF(C27="","",IF(K27&lt;&gt;"Hoàn thành",K27,IF(L27="","Không kiểm tra",IF(L27&gt;=7,"Đạt","Chưa đạt"))))</f>
        <v/>
      </c>
    </row>
    <row r="28">
      <c r="A28" s="2" t="n"/>
      <c r="B28" s="3" t="n"/>
      <c r="C28" s="3" t="n"/>
      <c r="D28" s="3" t="n"/>
      <c r="E28" s="3" t="n"/>
      <c r="F28" s="3" t="n"/>
      <c r="G28" s="4" t="n"/>
      <c r="H28" s="4" t="n"/>
      <c r="I28" s="2" t="n"/>
      <c r="J28" s="5" t="n"/>
      <c r="K28" s="3" t="n"/>
      <c r="L28" s="2" t="n"/>
      <c r="M28" s="6">
        <f>IF(C28="","",IF(K28="Hoàn thành",I28,0))</f>
        <v/>
      </c>
      <c r="N28" s="7">
        <f>IF(C28="","",IFERROR(ROUND(J28/M28,0),0))</f>
        <v/>
      </c>
      <c r="O28" s="7">
        <f>IF(C28="","",IF(K28="Bỏ dở",J28,0))</f>
        <v/>
      </c>
      <c r="P28" s="8">
        <f>IF(C28="","",IF(K28&lt;&gt;"Hoàn thành",K28,IF(L28="","Không kiểm tra",IF(L28&gt;=7,"Đạt","Chưa đạt"))))</f>
        <v/>
      </c>
    </row>
    <row r="29">
      <c r="A29" s="2" t="n"/>
      <c r="B29" s="3" t="n"/>
      <c r="C29" s="3" t="n"/>
      <c r="D29" s="3" t="n"/>
      <c r="E29" s="3" t="n"/>
      <c r="F29" s="3" t="n"/>
      <c r="G29" s="4" t="n"/>
      <c r="H29" s="4" t="n"/>
      <c r="I29" s="2" t="n"/>
      <c r="J29" s="5" t="n"/>
      <c r="K29" s="3" t="n"/>
      <c r="L29" s="2" t="n"/>
      <c r="M29" s="6">
        <f>IF(C29="","",IF(K29="Hoàn thành",I29,0))</f>
        <v/>
      </c>
      <c r="N29" s="7">
        <f>IF(C29="","",IFERROR(ROUND(J29/M29,0),0))</f>
        <v/>
      </c>
      <c r="O29" s="7">
        <f>IF(C29="","",IF(K29="Bỏ dở",J29,0))</f>
        <v/>
      </c>
      <c r="P29" s="8">
        <f>IF(C29="","",IF(K29&lt;&gt;"Hoàn thành",K29,IF(L29="","Không kiểm tra",IF(L29&gt;=7,"Đạt","Chưa đạt"))))</f>
        <v/>
      </c>
    </row>
    <row r="30">
      <c r="A30" s="2" t="n"/>
      <c r="B30" s="3" t="n"/>
      <c r="C30" s="3" t="n"/>
      <c r="D30" s="3" t="n"/>
      <c r="E30" s="3" t="n"/>
      <c r="F30" s="3" t="n"/>
      <c r="G30" s="4" t="n"/>
      <c r="H30" s="4" t="n"/>
      <c r="I30" s="2" t="n"/>
      <c r="J30" s="5" t="n"/>
      <c r="K30" s="3" t="n"/>
      <c r="L30" s="2" t="n"/>
      <c r="M30" s="6">
        <f>IF(C30="","",IF(K30="Hoàn thành",I30,0))</f>
        <v/>
      </c>
      <c r="N30" s="7">
        <f>IF(C30="","",IFERROR(ROUND(J30/M30,0),0))</f>
        <v/>
      </c>
      <c r="O30" s="7">
        <f>IF(C30="","",IF(K30="Bỏ dở",J30,0))</f>
        <v/>
      </c>
      <c r="P30" s="8">
        <f>IF(C30="","",IF(K30&lt;&gt;"Hoàn thành",K30,IF(L30="","Không kiểm tra",IF(L30&gt;=7,"Đạt","Chưa đạt"))))</f>
        <v/>
      </c>
    </row>
    <row r="31">
      <c r="A31" s="2" t="n"/>
      <c r="B31" s="3" t="n"/>
      <c r="C31" s="3" t="n"/>
      <c r="D31" s="3" t="n"/>
      <c r="E31" s="3" t="n"/>
      <c r="F31" s="3" t="n"/>
      <c r="G31" s="4" t="n"/>
      <c r="H31" s="4" t="n"/>
      <c r="I31" s="2" t="n"/>
      <c r="J31" s="5" t="n"/>
      <c r="K31" s="3" t="n"/>
      <c r="L31" s="2" t="n"/>
      <c r="M31" s="6">
        <f>IF(C31="","",IF(K31="Hoàn thành",I31,0))</f>
        <v/>
      </c>
      <c r="N31" s="7">
        <f>IF(C31="","",IFERROR(ROUND(J31/M31,0),0))</f>
        <v/>
      </c>
      <c r="O31" s="7">
        <f>IF(C31="","",IF(K31="Bỏ dở",J31,0))</f>
        <v/>
      </c>
      <c r="P31" s="8">
        <f>IF(C31="","",IF(K31&lt;&gt;"Hoàn thành",K31,IF(L31="","Không kiểm tra",IF(L31&gt;=7,"Đạt","Chưa đạt"))))</f>
        <v/>
      </c>
    </row>
    <row r="32">
      <c r="A32" s="2" t="n"/>
      <c r="B32" s="3" t="n"/>
      <c r="C32" s="3" t="n"/>
      <c r="D32" s="3" t="n"/>
      <c r="E32" s="3" t="n"/>
      <c r="F32" s="3" t="n"/>
      <c r="G32" s="4" t="n"/>
      <c r="H32" s="4" t="n"/>
      <c r="I32" s="2" t="n"/>
      <c r="J32" s="5" t="n"/>
      <c r="K32" s="3" t="n"/>
      <c r="L32" s="2" t="n"/>
      <c r="M32" s="6">
        <f>IF(C32="","",IF(K32="Hoàn thành",I32,0))</f>
        <v/>
      </c>
      <c r="N32" s="7">
        <f>IF(C32="","",IFERROR(ROUND(J32/M32,0),0))</f>
        <v/>
      </c>
      <c r="O32" s="7">
        <f>IF(C32="","",IF(K32="Bỏ dở",J32,0))</f>
        <v/>
      </c>
      <c r="P32" s="8">
        <f>IF(C32="","",IF(K32&lt;&gt;"Hoàn thành",K32,IF(L32="","Không kiểm tra",IF(L32&gt;=7,"Đạt","Chưa đạt"))))</f>
        <v/>
      </c>
    </row>
    <row r="33">
      <c r="A33" s="2" t="n"/>
      <c r="B33" s="3" t="n"/>
      <c r="C33" s="3" t="n"/>
      <c r="D33" s="3" t="n"/>
      <c r="E33" s="3" t="n"/>
      <c r="F33" s="3" t="n"/>
      <c r="G33" s="4" t="n"/>
      <c r="H33" s="4" t="n"/>
      <c r="I33" s="2" t="n"/>
      <c r="J33" s="5" t="n"/>
      <c r="K33" s="3" t="n"/>
      <c r="L33" s="2" t="n"/>
      <c r="M33" s="6">
        <f>IF(C33="","",IF(K33="Hoàn thành",I33,0))</f>
        <v/>
      </c>
      <c r="N33" s="7">
        <f>IF(C33="","",IFERROR(ROUND(J33/M33,0),0))</f>
        <v/>
      </c>
      <c r="O33" s="7">
        <f>IF(C33="","",IF(K33="Bỏ dở",J33,0))</f>
        <v/>
      </c>
      <c r="P33" s="8">
        <f>IF(C33="","",IF(K33&lt;&gt;"Hoàn thành",K33,IF(L33="","Không kiểm tra",IF(L33&gt;=7,"Đạt","Chưa đạt"))))</f>
        <v/>
      </c>
    </row>
    <row r="34">
      <c r="A34" s="2" t="n"/>
      <c r="B34" s="3" t="n"/>
      <c r="C34" s="3" t="n"/>
      <c r="D34" s="3" t="n"/>
      <c r="E34" s="3" t="n"/>
      <c r="F34" s="3" t="n"/>
      <c r="G34" s="4" t="n"/>
      <c r="H34" s="4" t="n"/>
      <c r="I34" s="2" t="n"/>
      <c r="J34" s="5" t="n"/>
      <c r="K34" s="3" t="n"/>
      <c r="L34" s="2" t="n"/>
      <c r="M34" s="6">
        <f>IF(C34="","",IF(K34="Hoàn thành",I34,0))</f>
        <v/>
      </c>
      <c r="N34" s="7">
        <f>IF(C34="","",IFERROR(ROUND(J34/M34,0),0))</f>
        <v/>
      </c>
      <c r="O34" s="7">
        <f>IF(C34="","",IF(K34="Bỏ dở",J34,0))</f>
        <v/>
      </c>
      <c r="P34" s="8">
        <f>IF(C34="","",IF(K34&lt;&gt;"Hoàn thành",K34,IF(L34="","Không kiểm tra",IF(L34&gt;=7,"Đạt","Chưa đạt"))))</f>
        <v/>
      </c>
    </row>
    <row r="35">
      <c r="A35" s="2" t="n"/>
      <c r="B35" s="3" t="n"/>
      <c r="C35" s="3" t="n"/>
      <c r="D35" s="3" t="n"/>
      <c r="E35" s="3" t="n"/>
      <c r="F35" s="3" t="n"/>
      <c r="G35" s="4" t="n"/>
      <c r="H35" s="4" t="n"/>
      <c r="I35" s="2" t="n"/>
      <c r="J35" s="5" t="n"/>
      <c r="K35" s="3" t="n"/>
      <c r="L35" s="2" t="n"/>
      <c r="M35" s="6">
        <f>IF(C35="","",IF(K35="Hoàn thành",I35,0))</f>
        <v/>
      </c>
      <c r="N35" s="7">
        <f>IF(C35="","",IFERROR(ROUND(J35/M35,0),0))</f>
        <v/>
      </c>
      <c r="O35" s="7">
        <f>IF(C35="","",IF(K35="Bỏ dở",J35,0))</f>
        <v/>
      </c>
      <c r="P35" s="8">
        <f>IF(C35="","",IF(K35&lt;&gt;"Hoàn thành",K35,IF(L35="","Không kiểm tra",IF(L35&gt;=7,"Đạt","Chưa đạt"))))</f>
        <v/>
      </c>
    </row>
    <row r="36">
      <c r="A36" s="2" t="n"/>
      <c r="B36" s="3" t="n"/>
      <c r="C36" s="3" t="n"/>
      <c r="D36" s="3" t="n"/>
      <c r="E36" s="3" t="n"/>
      <c r="F36" s="3" t="n"/>
      <c r="G36" s="4" t="n"/>
      <c r="H36" s="4" t="n"/>
      <c r="I36" s="2" t="n"/>
      <c r="J36" s="5" t="n"/>
      <c r="K36" s="3" t="n"/>
      <c r="L36" s="2" t="n"/>
      <c r="M36" s="6">
        <f>IF(C36="","",IF(K36="Hoàn thành",I36,0))</f>
        <v/>
      </c>
      <c r="N36" s="7">
        <f>IF(C36="","",IFERROR(ROUND(J36/M36,0),0))</f>
        <v/>
      </c>
      <c r="O36" s="7">
        <f>IF(C36="","",IF(K36="Bỏ dở",J36,0))</f>
        <v/>
      </c>
      <c r="P36" s="8">
        <f>IF(C36="","",IF(K36&lt;&gt;"Hoàn thành",K36,IF(L36="","Không kiểm tra",IF(L36&gt;=7,"Đạt","Chưa đạt"))))</f>
        <v/>
      </c>
    </row>
  </sheetData>
  <autoFilter ref="A1:P36"/>
  <dataValidations count="5">
    <dataValidation sqref="D2:D36" showDropDown="0" showInputMessage="0" showErrorMessage="0" allowBlank="1" errorTitle="Sai định dạng" error="Giá trị không hợp lệ cho cột này." type="list">
      <formula1>"Kinh doanh,Kế toán,Nhân sự,Kỹ thuật,Kho vận"</formula1>
    </dataValidation>
    <dataValidation sqref="F2:F36" showDropDown="0" showInputMessage="0" showErrorMessage="0" allowBlank="1" errorTitle="Sai định dạng" error="Giá trị không hợp lệ cho cột này." type="list">
      <formula1>"Nội bộ,Bên ngoài,E-learning,Kèm việc"</formula1>
    </dataValidation>
    <dataValidation sqref="I2:I36" showDropDown="0" showInputMessage="0" showErrorMessage="0" allowBlank="1" errorTitle="Sai định dạng" error="Giá trị không hợp lệ cho cột này." type="decimal" operator="between">
      <formula1>0</formula1>
      <formula2>500</formula2>
    </dataValidation>
    <dataValidation sqref="K2:K36" showDropDown="0" showInputMessage="0" showErrorMessage="0" allowBlank="1" errorTitle="Sai định dạng" error="Giá trị không hợp lệ cho cột này." type="list">
      <formula1>"Chưa bắt đầu,Đang học,Hoàn thành,Bỏ dở"</formula1>
    </dataValidation>
    <dataValidation sqref="L2:L36" showDropDown="0" showInputMessage="0" showErrorMessage="0" allowBlank="1" errorTitle="Sai định dạng" error="Giá trị không hợp lệ cho cột này." type="decimal" operator="between">
      <formula1>0</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9" t="inlineStr">
        <is>
          <t>Mẫu Excel theo dõi đào tạo nội bộ, tính được cả chi phí bỏ dở</t>
        </is>
      </c>
    </row>
    <row r="2">
      <c r="B2" s="10" t="inlineStr"/>
    </row>
    <row r="3">
      <c r="B3" s="11" t="inlineStr">
        <is>
          <t>CÁCH DÙNG</t>
        </is>
      </c>
    </row>
    <row r="4">
      <c r="B4" s="12" t="inlineStr">
        <is>
          <t>1. Ghi một dòng cho mỗi cặp người và khóa học</t>
        </is>
      </c>
    </row>
    <row r="5">
      <c r="B5" s="10" t="inlineStr">
        <is>
          <t xml:space="preserve">   Mười người học cùng một khóa thì ghi mười dòng, cùng tên khóa và cùng chi phí phần của mỗi người. Chia chi phí ra từng người ngay từ đầu thì mọi cột tính sau này đều cộng được theo cả hai chiều: theo người để biết ai được đào tạo, và theo tên khóa để biết khóa nào đắt.</t>
        </is>
      </c>
    </row>
    <row r="6">
      <c r="B6" s="12" t="inlineStr">
        <is>
          <t>2. Nhập chi phí là chi phí phân bổ cho một người, không phải cả khóa</t>
        </is>
      </c>
    </row>
    <row r="7">
      <c r="B7" s="10" t="inlineStr">
        <is>
          <t xml:space="preserve">   Khóa nội bộ mời giảng viên ngoài 20 triệu cho 10 người thì mỗi dòng ghi 2 triệu. Nếu ghi 20 triệu ở mọi dòng thì cộng cột lên thành 200 triệu và mọi con số hiệu quả sai gấp mười lần. Nhớ cộng cả chi phí tài liệu, thuê phòng và ăn trưa nếu có, đừng chỉ ghi học phí.</t>
        </is>
      </c>
    </row>
    <row r="8">
      <c r="B8" s="12" t="inlineStr">
        <is>
          <t>3. Cập nhật trạng thái ngay khi khóa kết thúc</t>
        </is>
      </c>
    </row>
    <row r="9">
      <c r="B9" s="10" t="inlineStr">
        <is>
          <t xml:space="preserve">   Trạng thái quyết định ba cột tính. Chỉ khóa Hoàn thành mới được tính giờ vào chỉ tiêu đào tạo và mới được xếp đạt hay chưa đạt. Khóa Bỏ dở thì toàn bộ chi phí chuyển sang cột chi phí bỏ dở. Để quên ở Đang học thì cuối năm số giờ đào tạo báo cáo lên sẽ thấp hơn thực tế.</t>
        </is>
      </c>
    </row>
    <row r="10">
      <c r="B10" s="12" t="inlineStr">
        <is>
          <t>4. Chỉ điền điểm kiểm tra khi khóa có kiểm tra thật</t>
        </is>
      </c>
    </row>
    <row r="11">
      <c r="B11" s="10" t="inlineStr">
        <is>
          <t xml:space="preserve">   Khóa có bài kiểm tra cuối khóa thì điền điểm theo thang 10, ngưỡng đạt để mặc định là 7. Khóa chỉ dự nghe không kiểm tra thì để trống, cột kết quả sẽ hiện là không kiểm tra thay vì xếp oan cho người học là chưa đạt.</t>
        </is>
      </c>
    </row>
    <row r="12">
      <c r="B12" s="12" t="inlineStr">
        <is>
          <t>5. Cuối năm cộng theo mã nhân viên và theo tên khóa</t>
        </is>
      </c>
    </row>
    <row r="13">
      <c r="B13" s="10" t="inlineStr">
        <is>
          <t xml:space="preserve">   SUMIF cột Giờ được tính theo Mã NV cho ra số giờ đào tạo của từng người, dùng cho báo cáo nhân sự và cho hồ sơ đánh giá. SUMIF theo Tên khóa học rồi so cột Chi phí một giờ giữa các khóa cho biết nên giữ khóa nào và bỏ khóa nào năm sau.</t>
        </is>
      </c>
    </row>
    <row r="14">
      <c r="B14" s="10" t="inlineStr"/>
    </row>
    <row r="15">
      <c r="B15" s="11" t="inlineStr">
        <is>
          <t>CÔNG THỨC TRONG FILE</t>
        </is>
      </c>
    </row>
    <row r="16">
      <c r="B16" s="12" t="inlineStr">
        <is>
          <t>Giờ được tính  —  =IF(C2="","",IF(K2="Hoàn thành",I2,0))</t>
        </is>
      </c>
    </row>
    <row r="17">
      <c r="B17" s="10" t="inlineStr">
        <is>
          <t xml:space="preserve">   Chỉ khóa đã hoàn thành mới góp giờ vào chỉ tiêu đào tạo năm. Người bỏ dở giữa khóa vẫn ngồi học một số giờ nhưng không được tính, vì chỉ tiêu đào tạo đo năng lực nhận được chứ không đo thời gian có mặt.</t>
        </is>
      </c>
    </row>
    <row r="18">
      <c r="B18" s="12" t="inlineStr">
        <is>
          <t>Chi phí một giờ  —  =IF(C2="","",IFERROR(ROUND(J2/M2,0),0))</t>
        </is>
      </c>
    </row>
    <row r="19">
      <c r="B19" s="10" t="inlineStr">
        <is>
          <t xml:space="preserve">   Chia cho giờ được tính chứ không chia cho số giờ đăng ký, nên khóa nào bị bỏ dở nhiều sẽ tự đắt lên khi cộng theo tên khóa. IFERROR đưa dòng bỏ dở về 0 vì mẫu số bằng 0, đó là lý do phải đọc cột này theo nhóm khóa thay vì đọc từng dòng.</t>
        </is>
      </c>
    </row>
    <row r="20">
      <c r="B20" s="12" t="inlineStr">
        <is>
          <t>Chi phí bỏ dở  —  =IF(C2="","",IF(K2="Bỏ dở",J2,0))</t>
        </is>
      </c>
    </row>
    <row r="21">
      <c r="B21" s="10" t="inlineStr">
        <is>
          <t xml:space="preserve">   Tiền đã chi cho người không học hết. Không trừ khỏi tổng chi phí đào tạo vì tiền đã ra khỏi công ty rồi, cột này chỉ đánh dấu phần không thu lại được gì. Cộng cả cột cuối năm là có một con số rất cụ thể để mang vào cuộc họp ngân sách.</t>
        </is>
      </c>
    </row>
    <row r="22">
      <c r="B22" s="12" t="inlineStr">
        <is>
          <t>Kết quả  —  =IF(C2="","",IF(K2&lt;&gt;"Hoàn thành",K2,IF(L2="","Không kiểm tra",IF(L2&gt;=7,"Đạt","Chưa đạt"))))</t>
        </is>
      </c>
    </row>
    <row r="23">
      <c r="B23" s="10" t="inlineStr">
        <is>
          <t xml:space="preserve">   Khóa chưa hoàn thành thì cột này lặp lại trạng thái để bảng đọc theo dòng vẫn đủ nghĩa. Khóa hoàn thành mà bỏ trống điểm thì hiện Không kiểm tra, không xếp oan là chưa đạt — nhiều khóa dự nghe vốn không có bài kiểm tra nào. Ngưỡng đạt là 7, sửa số này nếu công ty bạn đặt ngưỡng khác.</t>
        </is>
      </c>
    </row>
    <row r="24">
      <c r="B24" s="10" t="inlineStr"/>
    </row>
    <row r="25">
      <c r="B25" s="12" t="inlineStr">
        <is>
          <t>Bản cập nhật mới nhất và hướng dẫn chi tiết:</t>
        </is>
      </c>
    </row>
    <row r="26">
      <c r="B26" s="13" t="inlineStr">
        <is>
          <t>https://excel.nguyenvietloc.com/mau-excel/nhan-su/bang-theo-doi-dao-tao-nhan-vien</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2026-08-10T14:10:51Z</dcterms:created>
  <dcterms:modified xsi:type="dcterms:W3CDTF">2026-08-10T14:10:51Z</dcterms:modified>
</cp:coreProperties>
</file>