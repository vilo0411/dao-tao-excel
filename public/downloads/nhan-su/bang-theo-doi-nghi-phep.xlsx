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hỉ phép" sheetId="1" state="visible" r:id="rId1"/>
    <sheet name="Hướng dẫn" sheetId="2" state="visible" r:id="rId2"/>
  </sheets>
  <definedNames>
    <definedName name="_xlnm._FilterDatabase" localSheetId="0" hidden="1">'Nghỉ phép'!$A$1:$M$31</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4"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heo-doi-nghi-phep" TargetMode="External" Id="rId1" /></Relationships>
</file>

<file path=xl/worksheets/sheet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0" customWidth="1" min="5" max="5"/>
    <col width="13" customWidth="1" min="6" max="6"/>
    <col width="13" customWidth="1" min="7" max="7"/>
    <col width="10" customWidth="1" min="8" max="8"/>
    <col width="16" customWidth="1" min="9" max="9"/>
    <col width="28" customWidth="1" min="10" max="10"/>
    <col width="18" customWidth="1" min="11" max="11"/>
    <col width="16" customWidth="1" min="12" max="12"/>
    <col width="14" customWidth="1" min="13" max="13"/>
  </cols>
  <sheetData>
    <row r="1" ht="32" customHeight="1">
      <c r="A1" s="1" t="inlineStr">
        <is>
          <t>STT</t>
        </is>
      </c>
      <c r="B1" s="1" t="inlineStr">
        <is>
          <t>Mã NV</t>
        </is>
      </c>
      <c r="C1" s="1" t="inlineStr">
        <is>
          <t>Họ và tên</t>
        </is>
      </c>
      <c r="D1" s="1" t="inlineStr">
        <is>
          <t>Bộ phận</t>
        </is>
      </c>
      <c r="E1" s="1" t="inlineStr">
        <is>
          <t>Loại nghỉ</t>
        </is>
      </c>
      <c r="F1" s="1" t="inlineStr">
        <is>
          <t>Từ ngày</t>
        </is>
      </c>
      <c r="G1" s="1" t="inlineStr">
        <is>
          <t>Đến ngày</t>
        </is>
      </c>
      <c r="H1" s="1" t="inlineStr">
        <is>
          <t>Số ngày</t>
        </is>
      </c>
      <c r="I1" s="1" t="inlineStr">
        <is>
          <t>Trạng thái duyệt</t>
        </is>
      </c>
      <c r="J1" s="1" t="inlineStr">
        <is>
          <t>Lý do</t>
        </is>
      </c>
      <c r="K1" s="1" t="inlineStr">
        <is>
          <t>Ngày có hưởng lương</t>
        </is>
      </c>
      <c r="L1" s="1" t="inlineStr">
        <is>
          <t>Ngày không lương</t>
        </is>
      </c>
      <c r="M1" s="1" t="inlineStr">
        <is>
          <t>Trừ phép năm</t>
        </is>
      </c>
    </row>
    <row r="2">
      <c r="A2" s="2" t="n">
        <v>1</v>
      </c>
      <c r="B2" s="3" t="inlineStr">
        <is>
          <t>NV001</t>
        </is>
      </c>
      <c r="C2" s="3" t="inlineStr">
        <is>
          <t>Nguyễn Thị Mai</t>
        </is>
      </c>
      <c r="D2" s="3" t="inlineStr">
        <is>
          <t>Kinh doanh</t>
        </is>
      </c>
      <c r="E2" s="3" t="inlineStr">
        <is>
          <t>Phép năm</t>
        </is>
      </c>
      <c r="F2" s="4" t="n">
        <v>46212</v>
      </c>
      <c r="G2" s="4" t="n">
        <v>46213</v>
      </c>
      <c r="H2" s="2" t="n">
        <v>2</v>
      </c>
      <c r="I2" s="3" t="inlineStr">
        <is>
          <t>Đã duyệt</t>
        </is>
      </c>
      <c r="J2" s="3" t="inlineStr">
        <is>
          <t>Việc gia đình</t>
        </is>
      </c>
      <c r="K2" s="5">
        <f>IF(C2="","",IF(AND(I2="Đã duyệt",OR(E2="Phép năm",E2="Nghỉ chế độ",E2="Nghỉ bù")),H2,0))</f>
        <v/>
      </c>
      <c r="L2" s="5">
        <f>IF(C2="","",IF(AND(I2="Đã duyệt",E2="Nghỉ không lương"),H2,0))</f>
        <v/>
      </c>
      <c r="M2" s="5">
        <f>IF(C2="","",IF(AND(I2="Đã duyệt",E2="Phép năm"),H2,0))</f>
        <v/>
      </c>
    </row>
    <row r="3">
      <c r="A3" s="2" t="n">
        <v>2</v>
      </c>
      <c r="B3" s="3" t="inlineStr">
        <is>
          <t>NV003</t>
        </is>
      </c>
      <c r="C3" s="3" t="inlineStr">
        <is>
          <t>Lê Thu Hà</t>
        </is>
      </c>
      <c r="D3" s="3" t="inlineStr">
        <is>
          <t>Kế toán</t>
        </is>
      </c>
      <c r="E3" s="3" t="inlineStr">
        <is>
          <t>Phép năm</t>
        </is>
      </c>
      <c r="F3" s="4" t="n">
        <v>46209</v>
      </c>
      <c r="G3" s="4" t="n">
        <v>46209</v>
      </c>
      <c r="H3" s="2" t="n">
        <v>1</v>
      </c>
      <c r="I3" s="3" t="inlineStr">
        <is>
          <t>Đã duyệt</t>
        </is>
      </c>
      <c r="J3" s="3" t="inlineStr">
        <is>
          <t>Khám sức khỏe định kỳ</t>
        </is>
      </c>
      <c r="K3" s="5">
        <f>IF(C3="","",IF(AND(I3="Đã duyệt",OR(E3="Phép năm",E3="Nghỉ chế độ",E3="Nghỉ bù")),H3,0))</f>
        <v/>
      </c>
      <c r="L3" s="5">
        <f>IF(C3="","",IF(AND(I3="Đã duyệt",E3="Nghỉ không lương"),H3,0))</f>
        <v/>
      </c>
      <c r="M3" s="5">
        <f>IF(C3="","",IF(AND(I3="Đã duyệt",E3="Phép năm"),H3,0))</f>
        <v/>
      </c>
    </row>
    <row r="4">
      <c r="A4" s="2" t="n">
        <v>3</v>
      </c>
      <c r="B4" s="3" t="inlineStr">
        <is>
          <t>NV003</t>
        </is>
      </c>
      <c r="C4" s="3" t="inlineStr">
        <is>
          <t>Lê Thu Hà</t>
        </is>
      </c>
      <c r="D4" s="3" t="inlineStr">
        <is>
          <t>Kế toán</t>
        </is>
      </c>
      <c r="E4" s="3" t="inlineStr">
        <is>
          <t>Nghỉ không lương</t>
        </is>
      </c>
      <c r="F4" s="4" t="n">
        <v>46223</v>
      </c>
      <c r="G4" s="4" t="n">
        <v>46226</v>
      </c>
      <c r="H4" s="2" t="n">
        <v>4</v>
      </c>
      <c r="I4" s="3" t="inlineStr">
        <is>
          <t>Đã duyệt</t>
        </is>
      </c>
      <c r="J4" s="3" t="inlineStr">
        <is>
          <t>Về quê giải quyết việc riêng</t>
        </is>
      </c>
      <c r="K4" s="5">
        <f>IF(C4="","",IF(AND(I4="Đã duyệt",OR(E4="Phép năm",E4="Nghỉ chế độ",E4="Nghỉ bù")),H4,0))</f>
        <v/>
      </c>
      <c r="L4" s="5">
        <f>IF(C4="","",IF(AND(I4="Đã duyệt",E4="Nghỉ không lương"),H4,0))</f>
        <v/>
      </c>
      <c r="M4" s="5">
        <f>IF(C4="","",IF(AND(I4="Đã duyệt",E4="Phép năm"),H4,0))</f>
        <v/>
      </c>
    </row>
    <row r="5">
      <c r="A5" s="2" t="n">
        <v>4</v>
      </c>
      <c r="B5" s="3" t="inlineStr">
        <is>
          <t>NV004</t>
        </is>
      </c>
      <c r="C5" s="3" t="inlineStr">
        <is>
          <t>Phạm Minh Đức</t>
        </is>
      </c>
      <c r="D5" s="3" t="inlineStr">
        <is>
          <t>Kho vận</t>
        </is>
      </c>
      <c r="E5" s="3" t="inlineStr">
        <is>
          <t>Nghỉ không lương</t>
        </is>
      </c>
      <c r="F5" s="4" t="n">
        <v>46218</v>
      </c>
      <c r="G5" s="4" t="n">
        <v>46218</v>
      </c>
      <c r="H5" s="2" t="n">
        <v>1</v>
      </c>
      <c r="I5" s="3" t="inlineStr">
        <is>
          <t>Đã duyệt</t>
        </is>
      </c>
      <c r="J5" s="3" t="inlineStr">
        <is>
          <t>Việc cá nhân</t>
        </is>
      </c>
      <c r="K5" s="5">
        <f>IF(C5="","",IF(AND(I5="Đã duyệt",OR(E5="Phép năm",E5="Nghỉ chế độ",E5="Nghỉ bù")),H5,0))</f>
        <v/>
      </c>
      <c r="L5" s="5">
        <f>IF(C5="","",IF(AND(I5="Đã duyệt",E5="Nghỉ không lương"),H5,0))</f>
        <v/>
      </c>
      <c r="M5" s="5">
        <f>IF(C5="","",IF(AND(I5="Đã duyệt",E5="Phép năm"),H5,0))</f>
        <v/>
      </c>
    </row>
    <row r="6">
      <c r="A6" s="2" t="n">
        <v>5</v>
      </c>
      <c r="B6" s="3" t="inlineStr">
        <is>
          <t>NV002</t>
        </is>
      </c>
      <c r="C6" s="3" t="inlineStr">
        <is>
          <t>Trần Văn Hùng</t>
        </is>
      </c>
      <c r="D6" s="3" t="inlineStr">
        <is>
          <t>Kỹ thuật</t>
        </is>
      </c>
      <c r="E6" s="3" t="inlineStr">
        <is>
          <t>Phép năm</t>
        </is>
      </c>
      <c r="F6" s="4" t="n">
        <v>46237</v>
      </c>
      <c r="G6" s="4" t="n">
        <v>46237</v>
      </c>
      <c r="H6" s="2" t="n">
        <v>1</v>
      </c>
      <c r="I6" s="3" t="inlineStr">
        <is>
          <t>Chờ duyệt</t>
        </is>
      </c>
      <c r="J6" s="3" t="inlineStr">
        <is>
          <t>Đưa con nhập học</t>
        </is>
      </c>
      <c r="K6" s="5">
        <f>IF(C6="","",IF(AND(I6="Đã duyệt",OR(E6="Phép năm",E6="Nghỉ chế độ",E6="Nghỉ bù")),H6,0))</f>
        <v/>
      </c>
      <c r="L6" s="5">
        <f>IF(C6="","",IF(AND(I6="Đã duyệt",E6="Nghỉ không lương"),H6,0))</f>
        <v/>
      </c>
      <c r="M6" s="5">
        <f>IF(C6="","",IF(AND(I6="Đã duyệt",E6="Phép năm"),H6,0))</f>
        <v/>
      </c>
    </row>
    <row r="7">
      <c r="A7" s="2" t="n"/>
      <c r="B7" s="3" t="n"/>
      <c r="C7" s="3" t="n"/>
      <c r="D7" s="3" t="n"/>
      <c r="E7" s="3" t="n"/>
      <c r="F7" s="4" t="n"/>
      <c r="G7" s="4" t="n"/>
      <c r="H7" s="2" t="n"/>
      <c r="I7" s="3" t="n"/>
      <c r="J7" s="3" t="n"/>
      <c r="K7" s="5">
        <f>IF(C7="","",IF(AND(I7="Đã duyệt",OR(E7="Phép năm",E7="Nghỉ chế độ",E7="Nghỉ bù")),H7,0))</f>
        <v/>
      </c>
      <c r="L7" s="5">
        <f>IF(C7="","",IF(AND(I7="Đã duyệt",E7="Nghỉ không lương"),H7,0))</f>
        <v/>
      </c>
      <c r="M7" s="5">
        <f>IF(C7="","",IF(AND(I7="Đã duyệt",E7="Phép năm"),H7,0))</f>
        <v/>
      </c>
    </row>
    <row r="8">
      <c r="A8" s="2" t="n"/>
      <c r="B8" s="3" t="n"/>
      <c r="C8" s="3" t="n"/>
      <c r="D8" s="3" t="n"/>
      <c r="E8" s="3" t="n"/>
      <c r="F8" s="4" t="n"/>
      <c r="G8" s="4" t="n"/>
      <c r="H8" s="2" t="n"/>
      <c r="I8" s="3" t="n"/>
      <c r="J8" s="3" t="n"/>
      <c r="K8" s="5">
        <f>IF(C8="","",IF(AND(I8="Đã duyệt",OR(E8="Phép năm",E8="Nghỉ chế độ",E8="Nghỉ bù")),H8,0))</f>
        <v/>
      </c>
      <c r="L8" s="5">
        <f>IF(C8="","",IF(AND(I8="Đã duyệt",E8="Nghỉ không lương"),H8,0))</f>
        <v/>
      </c>
      <c r="M8" s="5">
        <f>IF(C8="","",IF(AND(I8="Đã duyệt",E8="Phép năm"),H8,0))</f>
        <v/>
      </c>
    </row>
    <row r="9">
      <c r="A9" s="2" t="n"/>
      <c r="B9" s="3" t="n"/>
      <c r="C9" s="3" t="n"/>
      <c r="D9" s="3" t="n"/>
      <c r="E9" s="3" t="n"/>
      <c r="F9" s="4" t="n"/>
      <c r="G9" s="4" t="n"/>
      <c r="H9" s="2" t="n"/>
      <c r="I9" s="3" t="n"/>
      <c r="J9" s="3" t="n"/>
      <c r="K9" s="5">
        <f>IF(C9="","",IF(AND(I9="Đã duyệt",OR(E9="Phép năm",E9="Nghỉ chế độ",E9="Nghỉ bù")),H9,0))</f>
        <v/>
      </c>
      <c r="L9" s="5">
        <f>IF(C9="","",IF(AND(I9="Đã duyệt",E9="Nghỉ không lương"),H9,0))</f>
        <v/>
      </c>
      <c r="M9" s="5">
        <f>IF(C9="","",IF(AND(I9="Đã duyệt",E9="Phép năm"),H9,0))</f>
        <v/>
      </c>
    </row>
    <row r="10">
      <c r="A10" s="2" t="n"/>
      <c r="B10" s="3" t="n"/>
      <c r="C10" s="3" t="n"/>
      <c r="D10" s="3" t="n"/>
      <c r="E10" s="3" t="n"/>
      <c r="F10" s="4" t="n"/>
      <c r="G10" s="4" t="n"/>
      <c r="H10" s="2" t="n"/>
      <c r="I10" s="3" t="n"/>
      <c r="J10" s="3" t="n"/>
      <c r="K10" s="5">
        <f>IF(C10="","",IF(AND(I10="Đã duyệt",OR(E10="Phép năm",E10="Nghỉ chế độ",E10="Nghỉ bù")),H10,0))</f>
        <v/>
      </c>
      <c r="L10" s="5">
        <f>IF(C10="","",IF(AND(I10="Đã duyệt",E10="Nghỉ không lương"),H10,0))</f>
        <v/>
      </c>
      <c r="M10" s="5">
        <f>IF(C10="","",IF(AND(I10="Đã duyệt",E10="Phép năm"),H10,0))</f>
        <v/>
      </c>
    </row>
    <row r="11">
      <c r="A11" s="2" t="n"/>
      <c r="B11" s="3" t="n"/>
      <c r="C11" s="3" t="n"/>
      <c r="D11" s="3" t="n"/>
      <c r="E11" s="3" t="n"/>
      <c r="F11" s="4" t="n"/>
      <c r="G11" s="4" t="n"/>
      <c r="H11" s="2" t="n"/>
      <c r="I11" s="3" t="n"/>
      <c r="J11" s="3" t="n"/>
      <c r="K11" s="5">
        <f>IF(C11="","",IF(AND(I11="Đã duyệt",OR(E11="Phép năm",E11="Nghỉ chế độ",E11="Nghỉ bù")),H11,0))</f>
        <v/>
      </c>
      <c r="L11" s="5">
        <f>IF(C11="","",IF(AND(I11="Đã duyệt",E11="Nghỉ không lương"),H11,0))</f>
        <v/>
      </c>
      <c r="M11" s="5">
        <f>IF(C11="","",IF(AND(I11="Đã duyệt",E11="Phép năm"),H11,0))</f>
        <v/>
      </c>
    </row>
    <row r="12">
      <c r="A12" s="2" t="n"/>
      <c r="B12" s="3" t="n"/>
      <c r="C12" s="3" t="n"/>
      <c r="D12" s="3" t="n"/>
      <c r="E12" s="3" t="n"/>
      <c r="F12" s="4" t="n"/>
      <c r="G12" s="4" t="n"/>
      <c r="H12" s="2" t="n"/>
      <c r="I12" s="3" t="n"/>
      <c r="J12" s="3" t="n"/>
      <c r="K12" s="5">
        <f>IF(C12="","",IF(AND(I12="Đã duyệt",OR(E12="Phép năm",E12="Nghỉ chế độ",E12="Nghỉ bù")),H12,0))</f>
        <v/>
      </c>
      <c r="L12" s="5">
        <f>IF(C12="","",IF(AND(I12="Đã duyệt",E12="Nghỉ không lương"),H12,0))</f>
        <v/>
      </c>
      <c r="M12" s="5">
        <f>IF(C12="","",IF(AND(I12="Đã duyệt",E12="Phép năm"),H12,0))</f>
        <v/>
      </c>
    </row>
    <row r="13">
      <c r="A13" s="2" t="n"/>
      <c r="B13" s="3" t="n"/>
      <c r="C13" s="3" t="n"/>
      <c r="D13" s="3" t="n"/>
      <c r="E13" s="3" t="n"/>
      <c r="F13" s="4" t="n"/>
      <c r="G13" s="4" t="n"/>
      <c r="H13" s="2" t="n"/>
      <c r="I13" s="3" t="n"/>
      <c r="J13" s="3" t="n"/>
      <c r="K13" s="5">
        <f>IF(C13="","",IF(AND(I13="Đã duyệt",OR(E13="Phép năm",E13="Nghỉ chế độ",E13="Nghỉ bù")),H13,0))</f>
        <v/>
      </c>
      <c r="L13" s="5">
        <f>IF(C13="","",IF(AND(I13="Đã duyệt",E13="Nghỉ không lương"),H13,0))</f>
        <v/>
      </c>
      <c r="M13" s="5">
        <f>IF(C13="","",IF(AND(I13="Đã duyệt",E13="Phép năm"),H13,0))</f>
        <v/>
      </c>
    </row>
    <row r="14">
      <c r="A14" s="2" t="n"/>
      <c r="B14" s="3" t="n"/>
      <c r="C14" s="3" t="n"/>
      <c r="D14" s="3" t="n"/>
      <c r="E14" s="3" t="n"/>
      <c r="F14" s="4" t="n"/>
      <c r="G14" s="4" t="n"/>
      <c r="H14" s="2" t="n"/>
      <c r="I14" s="3" t="n"/>
      <c r="J14" s="3" t="n"/>
      <c r="K14" s="5">
        <f>IF(C14="","",IF(AND(I14="Đã duyệt",OR(E14="Phép năm",E14="Nghỉ chế độ",E14="Nghỉ bù")),H14,0))</f>
        <v/>
      </c>
      <c r="L14" s="5">
        <f>IF(C14="","",IF(AND(I14="Đã duyệt",E14="Nghỉ không lương"),H14,0))</f>
        <v/>
      </c>
      <c r="M14" s="5">
        <f>IF(C14="","",IF(AND(I14="Đã duyệt",E14="Phép năm"),H14,0))</f>
        <v/>
      </c>
    </row>
    <row r="15">
      <c r="A15" s="2" t="n"/>
      <c r="B15" s="3" t="n"/>
      <c r="C15" s="3" t="n"/>
      <c r="D15" s="3" t="n"/>
      <c r="E15" s="3" t="n"/>
      <c r="F15" s="4" t="n"/>
      <c r="G15" s="4" t="n"/>
      <c r="H15" s="2" t="n"/>
      <c r="I15" s="3" t="n"/>
      <c r="J15" s="3" t="n"/>
      <c r="K15" s="5">
        <f>IF(C15="","",IF(AND(I15="Đã duyệt",OR(E15="Phép năm",E15="Nghỉ chế độ",E15="Nghỉ bù")),H15,0))</f>
        <v/>
      </c>
      <c r="L15" s="5">
        <f>IF(C15="","",IF(AND(I15="Đã duyệt",E15="Nghỉ không lương"),H15,0))</f>
        <v/>
      </c>
      <c r="M15" s="5">
        <f>IF(C15="","",IF(AND(I15="Đã duyệt",E15="Phép năm"),H15,0))</f>
        <v/>
      </c>
    </row>
    <row r="16">
      <c r="A16" s="2" t="n"/>
      <c r="B16" s="3" t="n"/>
      <c r="C16" s="3" t="n"/>
      <c r="D16" s="3" t="n"/>
      <c r="E16" s="3" t="n"/>
      <c r="F16" s="4" t="n"/>
      <c r="G16" s="4" t="n"/>
      <c r="H16" s="2" t="n"/>
      <c r="I16" s="3" t="n"/>
      <c r="J16" s="3" t="n"/>
      <c r="K16" s="5">
        <f>IF(C16="","",IF(AND(I16="Đã duyệt",OR(E16="Phép năm",E16="Nghỉ chế độ",E16="Nghỉ bù")),H16,0))</f>
        <v/>
      </c>
      <c r="L16" s="5">
        <f>IF(C16="","",IF(AND(I16="Đã duyệt",E16="Nghỉ không lương"),H16,0))</f>
        <v/>
      </c>
      <c r="M16" s="5">
        <f>IF(C16="","",IF(AND(I16="Đã duyệt",E16="Phép năm"),H16,0))</f>
        <v/>
      </c>
    </row>
    <row r="17">
      <c r="A17" s="2" t="n"/>
      <c r="B17" s="3" t="n"/>
      <c r="C17" s="3" t="n"/>
      <c r="D17" s="3" t="n"/>
      <c r="E17" s="3" t="n"/>
      <c r="F17" s="4" t="n"/>
      <c r="G17" s="4" t="n"/>
      <c r="H17" s="2" t="n"/>
      <c r="I17" s="3" t="n"/>
      <c r="J17" s="3" t="n"/>
      <c r="K17" s="5">
        <f>IF(C17="","",IF(AND(I17="Đã duyệt",OR(E17="Phép năm",E17="Nghỉ chế độ",E17="Nghỉ bù")),H17,0))</f>
        <v/>
      </c>
      <c r="L17" s="5">
        <f>IF(C17="","",IF(AND(I17="Đã duyệt",E17="Nghỉ không lương"),H17,0))</f>
        <v/>
      </c>
      <c r="M17" s="5">
        <f>IF(C17="","",IF(AND(I17="Đã duyệt",E17="Phép năm"),H17,0))</f>
        <v/>
      </c>
    </row>
    <row r="18">
      <c r="A18" s="2" t="n"/>
      <c r="B18" s="3" t="n"/>
      <c r="C18" s="3" t="n"/>
      <c r="D18" s="3" t="n"/>
      <c r="E18" s="3" t="n"/>
      <c r="F18" s="4" t="n"/>
      <c r="G18" s="4" t="n"/>
      <c r="H18" s="2" t="n"/>
      <c r="I18" s="3" t="n"/>
      <c r="J18" s="3" t="n"/>
      <c r="K18" s="5">
        <f>IF(C18="","",IF(AND(I18="Đã duyệt",OR(E18="Phép năm",E18="Nghỉ chế độ",E18="Nghỉ bù")),H18,0))</f>
        <v/>
      </c>
      <c r="L18" s="5">
        <f>IF(C18="","",IF(AND(I18="Đã duyệt",E18="Nghỉ không lương"),H18,0))</f>
        <v/>
      </c>
      <c r="M18" s="5">
        <f>IF(C18="","",IF(AND(I18="Đã duyệt",E18="Phép năm"),H18,0))</f>
        <v/>
      </c>
    </row>
    <row r="19">
      <c r="A19" s="2" t="n"/>
      <c r="B19" s="3" t="n"/>
      <c r="C19" s="3" t="n"/>
      <c r="D19" s="3" t="n"/>
      <c r="E19" s="3" t="n"/>
      <c r="F19" s="4" t="n"/>
      <c r="G19" s="4" t="n"/>
      <c r="H19" s="2" t="n"/>
      <c r="I19" s="3" t="n"/>
      <c r="J19" s="3" t="n"/>
      <c r="K19" s="5">
        <f>IF(C19="","",IF(AND(I19="Đã duyệt",OR(E19="Phép năm",E19="Nghỉ chế độ",E19="Nghỉ bù")),H19,0))</f>
        <v/>
      </c>
      <c r="L19" s="5">
        <f>IF(C19="","",IF(AND(I19="Đã duyệt",E19="Nghỉ không lương"),H19,0))</f>
        <v/>
      </c>
      <c r="M19" s="5">
        <f>IF(C19="","",IF(AND(I19="Đã duyệt",E19="Phép năm"),H19,0))</f>
        <v/>
      </c>
    </row>
    <row r="20">
      <c r="A20" s="2" t="n"/>
      <c r="B20" s="3" t="n"/>
      <c r="C20" s="3" t="n"/>
      <c r="D20" s="3" t="n"/>
      <c r="E20" s="3" t="n"/>
      <c r="F20" s="4" t="n"/>
      <c r="G20" s="4" t="n"/>
      <c r="H20" s="2" t="n"/>
      <c r="I20" s="3" t="n"/>
      <c r="J20" s="3" t="n"/>
      <c r="K20" s="5">
        <f>IF(C20="","",IF(AND(I20="Đã duyệt",OR(E20="Phép năm",E20="Nghỉ chế độ",E20="Nghỉ bù")),H20,0))</f>
        <v/>
      </c>
      <c r="L20" s="5">
        <f>IF(C20="","",IF(AND(I20="Đã duyệt",E20="Nghỉ không lương"),H20,0))</f>
        <v/>
      </c>
      <c r="M20" s="5">
        <f>IF(C20="","",IF(AND(I20="Đã duyệt",E20="Phép năm"),H20,0))</f>
        <v/>
      </c>
    </row>
    <row r="21">
      <c r="A21" s="2" t="n"/>
      <c r="B21" s="3" t="n"/>
      <c r="C21" s="3" t="n"/>
      <c r="D21" s="3" t="n"/>
      <c r="E21" s="3" t="n"/>
      <c r="F21" s="4" t="n"/>
      <c r="G21" s="4" t="n"/>
      <c r="H21" s="2" t="n"/>
      <c r="I21" s="3" t="n"/>
      <c r="J21" s="3" t="n"/>
      <c r="K21" s="5">
        <f>IF(C21="","",IF(AND(I21="Đã duyệt",OR(E21="Phép năm",E21="Nghỉ chế độ",E21="Nghỉ bù")),H21,0))</f>
        <v/>
      </c>
      <c r="L21" s="5">
        <f>IF(C21="","",IF(AND(I21="Đã duyệt",E21="Nghỉ không lương"),H21,0))</f>
        <v/>
      </c>
      <c r="M21" s="5">
        <f>IF(C21="","",IF(AND(I21="Đã duyệt",E21="Phép năm"),H21,0))</f>
        <v/>
      </c>
    </row>
    <row r="22">
      <c r="A22" s="2" t="n"/>
      <c r="B22" s="3" t="n"/>
      <c r="C22" s="3" t="n"/>
      <c r="D22" s="3" t="n"/>
      <c r="E22" s="3" t="n"/>
      <c r="F22" s="4" t="n"/>
      <c r="G22" s="4" t="n"/>
      <c r="H22" s="2" t="n"/>
      <c r="I22" s="3" t="n"/>
      <c r="J22" s="3" t="n"/>
      <c r="K22" s="5">
        <f>IF(C22="","",IF(AND(I22="Đã duyệt",OR(E22="Phép năm",E22="Nghỉ chế độ",E22="Nghỉ bù")),H22,0))</f>
        <v/>
      </c>
      <c r="L22" s="5">
        <f>IF(C22="","",IF(AND(I22="Đã duyệt",E22="Nghỉ không lương"),H22,0))</f>
        <v/>
      </c>
      <c r="M22" s="5">
        <f>IF(C22="","",IF(AND(I22="Đã duyệt",E22="Phép năm"),H22,0))</f>
        <v/>
      </c>
    </row>
    <row r="23">
      <c r="A23" s="2" t="n"/>
      <c r="B23" s="3" t="n"/>
      <c r="C23" s="3" t="n"/>
      <c r="D23" s="3" t="n"/>
      <c r="E23" s="3" t="n"/>
      <c r="F23" s="4" t="n"/>
      <c r="G23" s="4" t="n"/>
      <c r="H23" s="2" t="n"/>
      <c r="I23" s="3" t="n"/>
      <c r="J23" s="3" t="n"/>
      <c r="K23" s="5">
        <f>IF(C23="","",IF(AND(I23="Đã duyệt",OR(E23="Phép năm",E23="Nghỉ chế độ",E23="Nghỉ bù")),H23,0))</f>
        <v/>
      </c>
      <c r="L23" s="5">
        <f>IF(C23="","",IF(AND(I23="Đã duyệt",E23="Nghỉ không lương"),H23,0))</f>
        <v/>
      </c>
      <c r="M23" s="5">
        <f>IF(C23="","",IF(AND(I23="Đã duyệt",E23="Phép năm"),H23,0))</f>
        <v/>
      </c>
    </row>
    <row r="24">
      <c r="A24" s="2" t="n"/>
      <c r="B24" s="3" t="n"/>
      <c r="C24" s="3" t="n"/>
      <c r="D24" s="3" t="n"/>
      <c r="E24" s="3" t="n"/>
      <c r="F24" s="4" t="n"/>
      <c r="G24" s="4" t="n"/>
      <c r="H24" s="2" t="n"/>
      <c r="I24" s="3" t="n"/>
      <c r="J24" s="3" t="n"/>
      <c r="K24" s="5">
        <f>IF(C24="","",IF(AND(I24="Đã duyệt",OR(E24="Phép năm",E24="Nghỉ chế độ",E24="Nghỉ bù")),H24,0))</f>
        <v/>
      </c>
      <c r="L24" s="5">
        <f>IF(C24="","",IF(AND(I24="Đã duyệt",E24="Nghỉ không lương"),H24,0))</f>
        <v/>
      </c>
      <c r="M24" s="5">
        <f>IF(C24="","",IF(AND(I24="Đã duyệt",E24="Phép năm"),H24,0))</f>
        <v/>
      </c>
    </row>
    <row r="25">
      <c r="A25" s="2" t="n"/>
      <c r="B25" s="3" t="n"/>
      <c r="C25" s="3" t="n"/>
      <c r="D25" s="3" t="n"/>
      <c r="E25" s="3" t="n"/>
      <c r="F25" s="4" t="n"/>
      <c r="G25" s="4" t="n"/>
      <c r="H25" s="2" t="n"/>
      <c r="I25" s="3" t="n"/>
      <c r="J25" s="3" t="n"/>
      <c r="K25" s="5">
        <f>IF(C25="","",IF(AND(I25="Đã duyệt",OR(E25="Phép năm",E25="Nghỉ chế độ",E25="Nghỉ bù")),H25,0))</f>
        <v/>
      </c>
      <c r="L25" s="5">
        <f>IF(C25="","",IF(AND(I25="Đã duyệt",E25="Nghỉ không lương"),H25,0))</f>
        <v/>
      </c>
      <c r="M25" s="5">
        <f>IF(C25="","",IF(AND(I25="Đã duyệt",E25="Phép năm"),H25,0))</f>
        <v/>
      </c>
    </row>
    <row r="26">
      <c r="A26" s="2" t="n"/>
      <c r="B26" s="3" t="n"/>
      <c r="C26" s="3" t="n"/>
      <c r="D26" s="3" t="n"/>
      <c r="E26" s="3" t="n"/>
      <c r="F26" s="4" t="n"/>
      <c r="G26" s="4" t="n"/>
      <c r="H26" s="2" t="n"/>
      <c r="I26" s="3" t="n"/>
      <c r="J26" s="3" t="n"/>
      <c r="K26" s="5">
        <f>IF(C26="","",IF(AND(I26="Đã duyệt",OR(E26="Phép năm",E26="Nghỉ chế độ",E26="Nghỉ bù")),H26,0))</f>
        <v/>
      </c>
      <c r="L26" s="5">
        <f>IF(C26="","",IF(AND(I26="Đã duyệt",E26="Nghỉ không lương"),H26,0))</f>
        <v/>
      </c>
      <c r="M26" s="5">
        <f>IF(C26="","",IF(AND(I26="Đã duyệt",E26="Phép năm"),H26,0))</f>
        <v/>
      </c>
    </row>
    <row r="27">
      <c r="A27" s="2" t="n"/>
      <c r="B27" s="3" t="n"/>
      <c r="C27" s="3" t="n"/>
      <c r="D27" s="3" t="n"/>
      <c r="E27" s="3" t="n"/>
      <c r="F27" s="4" t="n"/>
      <c r="G27" s="4" t="n"/>
      <c r="H27" s="2" t="n"/>
      <c r="I27" s="3" t="n"/>
      <c r="J27" s="3" t="n"/>
      <c r="K27" s="5">
        <f>IF(C27="","",IF(AND(I27="Đã duyệt",OR(E27="Phép năm",E27="Nghỉ chế độ",E27="Nghỉ bù")),H27,0))</f>
        <v/>
      </c>
      <c r="L27" s="5">
        <f>IF(C27="","",IF(AND(I27="Đã duyệt",E27="Nghỉ không lương"),H27,0))</f>
        <v/>
      </c>
      <c r="M27" s="5">
        <f>IF(C27="","",IF(AND(I27="Đã duyệt",E27="Phép năm"),H27,0))</f>
        <v/>
      </c>
    </row>
    <row r="28">
      <c r="A28" s="2" t="n"/>
      <c r="B28" s="3" t="n"/>
      <c r="C28" s="3" t="n"/>
      <c r="D28" s="3" t="n"/>
      <c r="E28" s="3" t="n"/>
      <c r="F28" s="4" t="n"/>
      <c r="G28" s="4" t="n"/>
      <c r="H28" s="2" t="n"/>
      <c r="I28" s="3" t="n"/>
      <c r="J28" s="3" t="n"/>
      <c r="K28" s="5">
        <f>IF(C28="","",IF(AND(I28="Đã duyệt",OR(E28="Phép năm",E28="Nghỉ chế độ",E28="Nghỉ bù")),H28,0))</f>
        <v/>
      </c>
      <c r="L28" s="5">
        <f>IF(C28="","",IF(AND(I28="Đã duyệt",E28="Nghỉ không lương"),H28,0))</f>
        <v/>
      </c>
      <c r="M28" s="5">
        <f>IF(C28="","",IF(AND(I28="Đã duyệt",E28="Phép năm"),H28,0))</f>
        <v/>
      </c>
    </row>
    <row r="29">
      <c r="A29" s="2" t="n"/>
      <c r="B29" s="3" t="n"/>
      <c r="C29" s="3" t="n"/>
      <c r="D29" s="3" t="n"/>
      <c r="E29" s="3" t="n"/>
      <c r="F29" s="4" t="n"/>
      <c r="G29" s="4" t="n"/>
      <c r="H29" s="2" t="n"/>
      <c r="I29" s="3" t="n"/>
      <c r="J29" s="3" t="n"/>
      <c r="K29" s="5">
        <f>IF(C29="","",IF(AND(I29="Đã duyệt",OR(E29="Phép năm",E29="Nghỉ chế độ",E29="Nghỉ bù")),H29,0))</f>
        <v/>
      </c>
      <c r="L29" s="5">
        <f>IF(C29="","",IF(AND(I29="Đã duyệt",E29="Nghỉ không lương"),H29,0))</f>
        <v/>
      </c>
      <c r="M29" s="5">
        <f>IF(C29="","",IF(AND(I29="Đã duyệt",E29="Phép năm"),H29,0))</f>
        <v/>
      </c>
    </row>
    <row r="30">
      <c r="A30" s="2" t="n"/>
      <c r="B30" s="3" t="n"/>
      <c r="C30" s="3" t="n"/>
      <c r="D30" s="3" t="n"/>
      <c r="E30" s="3" t="n"/>
      <c r="F30" s="4" t="n"/>
      <c r="G30" s="4" t="n"/>
      <c r="H30" s="2" t="n"/>
      <c r="I30" s="3" t="n"/>
      <c r="J30" s="3" t="n"/>
      <c r="K30" s="5">
        <f>IF(C30="","",IF(AND(I30="Đã duyệt",OR(E30="Phép năm",E30="Nghỉ chế độ",E30="Nghỉ bù")),H30,0))</f>
        <v/>
      </c>
      <c r="L30" s="5">
        <f>IF(C30="","",IF(AND(I30="Đã duyệt",E30="Nghỉ không lương"),H30,0))</f>
        <v/>
      </c>
      <c r="M30" s="5">
        <f>IF(C30="","",IF(AND(I30="Đã duyệt",E30="Phép năm"),H30,0))</f>
        <v/>
      </c>
    </row>
    <row r="31">
      <c r="A31" s="2" t="n"/>
      <c r="B31" s="3" t="n"/>
      <c r="C31" s="3" t="n"/>
      <c r="D31" s="3" t="n"/>
      <c r="E31" s="3" t="n"/>
      <c r="F31" s="4" t="n"/>
      <c r="G31" s="4" t="n"/>
      <c r="H31" s="2" t="n"/>
      <c r="I31" s="3" t="n"/>
      <c r="J31" s="3" t="n"/>
      <c r="K31" s="5">
        <f>IF(C31="","",IF(AND(I31="Đã duyệt",OR(E31="Phép năm",E31="Nghỉ chế độ",E31="Nghỉ bù")),H31,0))</f>
        <v/>
      </c>
      <c r="L31" s="5">
        <f>IF(C31="","",IF(AND(I31="Đã duyệt",E31="Nghỉ không lương"),H31,0))</f>
        <v/>
      </c>
      <c r="M31" s="5">
        <f>IF(C31="","",IF(AND(I31="Đã duyệt",E31="Phép năm"),H31,0))</f>
        <v/>
      </c>
    </row>
  </sheetData>
  <autoFilter ref="A1:M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E2:E31" showDropDown="0" showInputMessage="0" showErrorMessage="0" allowBlank="1" errorTitle="Sai định dạng" error="Giá trị không hợp lệ cho cột này." type="list">
      <formula1>"Phép năm,Nghỉ chế độ,Nghỉ ốm,Nghỉ không lương,Nghỉ bù"</formula1>
    </dataValidation>
    <dataValidation sqref="H2:H31" showDropDown="0" showInputMessage="0" showErrorMessage="0" allowBlank="1" errorTitle="Sai định dạng" error="Giá trị không hợp lệ cho cột này." type="decimal" operator="between">
      <formula1>0</formula1>
      <formula2>31</formula2>
    </dataValidation>
    <dataValidation sqref="I2:I31" showDropDown="0" showInputMessage="0" showErrorMessage="0" allowBlank="1" errorTitle="Sai định dạng" error="Giá trị không hợp lệ cho cột này." type="list">
      <formula1>"Đã duyệt,Chờ duyệt,Từ chối"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6" t="inlineStr">
        <is>
          <t>Mẫu Excel theo dõi nghỉ phép, tự tách ngày có lương và không lương</t>
        </is>
      </c>
    </row>
    <row r="2">
      <c r="B2" s="7" t="inlineStr"/>
    </row>
    <row r="3">
      <c r="B3" s="8" t="inlineStr">
        <is>
          <t>CÁCH DÙNG</t>
        </is>
      </c>
    </row>
    <row r="4">
      <c r="B4" s="9" t="inlineStr">
        <is>
          <t>1. Ghi một dòng cho mỗi đơn nghỉ</t>
        </is>
      </c>
    </row>
    <row r="5">
      <c r="B5" s="7" t="inlineStr">
        <is>
          <t xml:space="preserve">   Một người nghỉ ba lần trong tháng thì ghi ba dòng, đừng gộp lại. Gộp thì mất ngày cụ thể, và khi có tranh chấp về công hay lương thì không còn gì để đối chiếu.</t>
        </is>
      </c>
    </row>
    <row r="6">
      <c r="B6" s="9" t="inlineStr">
        <is>
          <t>2. Chọn đúng loại nghỉ</t>
        </is>
      </c>
    </row>
    <row r="7">
      <c r="B7" s="7" t="inlineStr">
        <is>
          <t xml:space="preserve">   Phép năm là ngày trừ vào quỹ phép và vẫn hưởng lương. Nghỉ chế độ gồm cưới hỏi, tang chế theo luật, hưởng lương nhưng không trừ phép. Nghỉ ốm do bảo hiểm xã hội chi trả nên công ty không trả lương ngày đó. Nghỉ không lương là ngày bị trừ thẳng vào lương.</t>
        </is>
      </c>
    </row>
    <row r="8">
      <c r="B8" s="9" t="inlineStr">
        <is>
          <t>3. Nhập số ngày, đừng để công thức tự đếm</t>
        </is>
      </c>
    </row>
    <row r="9">
      <c r="B9" s="7" t="inlineStr">
        <is>
          <t xml:space="preserve">   Từ ngày và đến ngày chỉ để ghi nhận, còn cột Số ngày bạn tự điền. Lý do là khoảng giữa hai mốc có thể vắt qua thứ bảy, chủ nhật hoặc ngày lễ, và mỗi công ty tính khác nhau — máy đếm hộ thì sai nhiều hơn đúng.</t>
        </is>
      </c>
    </row>
    <row r="10">
      <c r="B10" s="9" t="inlineStr">
        <is>
          <t>4. Cập nhật trạng thái duyệt ngay khi có quyết định</t>
        </is>
      </c>
    </row>
    <row r="11">
      <c r="B11" s="7" t="inlineStr">
        <is>
          <t xml:space="preserve">   Chỉ đơn Đã duyệt mới được tính vào ba cột cuối. Để quên ở Chờ duyệt thì đến kỳ lương số ngày nghỉ đó bằng 0, người lao động bị tính thừa công còn công ty tính thiếu tiền phải trừ.</t>
        </is>
      </c>
    </row>
    <row r="12">
      <c r="B12" s="9" t="inlineStr">
        <is>
          <t>5. Cuối tháng cộng theo mã nhân viên rồi chuyển sang chấm công</t>
        </is>
      </c>
    </row>
    <row r="13">
      <c r="B13" s="7" t="inlineStr">
        <is>
          <t xml:space="preserve">   Dùng SUMIF theo cột Mã NV để ra tổng ngày có lương và tổng ngày không lương của từng người, rồi điền vào hai cột tương ứng trong bảng chấm công.</t>
        </is>
      </c>
    </row>
    <row r="14">
      <c r="B14" s="7" t="inlineStr"/>
    </row>
    <row r="15">
      <c r="B15" s="8" t="inlineStr">
        <is>
          <t>CÔNG THỨC TRONG FILE</t>
        </is>
      </c>
    </row>
    <row r="16">
      <c r="B16" s="9" t="inlineStr">
        <is>
          <t>Ngày có hưởng lương  —  =IF(C2="","",IF(AND(I2="Đã duyệt",OR(E2="Phép năm",E2="Nghỉ chế độ",E2="Nghỉ bù")),H2,0))</t>
        </is>
      </c>
    </row>
    <row r="17">
      <c r="B17" s="7" t="inlineStr">
        <is>
          <t xml:space="preserve">   Chỉ ba loại nghỉ do công ty trả lương mới được tính: phép năm, nghỉ chế độ và nghỉ bù. Hàm AND bắt buộc đơn phải Đã duyệt, nên đơn còn chờ duyệt trả về 0. Nghỉ ốm không nằm trong nhóm này vì do bảo hiểm xã hội chi trả.</t>
        </is>
      </c>
    </row>
    <row r="18">
      <c r="B18" s="9" t="inlineStr">
        <is>
          <t>Ngày không lương  —  =IF(C2="","",IF(AND(I2="Đã duyệt",E2="Nghỉ không lương"),H2,0))</t>
        </is>
      </c>
    </row>
    <row r="19">
      <c r="B19" s="7" t="inlineStr">
        <is>
          <t xml:space="preserve">   Đúng một loại nghỉ bị trừ thẳng vào lương. Đây là con số bảng chấm công lấy sang cột Nghỉ không lương, và nó làm giảm số công hưởng lương ở bảng tính lương.</t>
        </is>
      </c>
    </row>
    <row r="20">
      <c r="B20" s="9" t="inlineStr">
        <is>
          <t>Trừ phép năm  —  =IF(C2="","",IF(AND(I2="Đã duyệt",E2="Phép năm"),H2,0))</t>
        </is>
      </c>
    </row>
    <row r="21">
      <c r="B21" s="7" t="inlineStr">
        <is>
          <t xml:space="preserve">   Tách riêng khỏi cột ngày có hưởng lương vì nghỉ chế độ và nghỉ bù cũng hưởng lương nhưng không trừ vào quỹ phép năm. Cuối năm cộng cột này theo mã nhân viên để biết mỗi người đã dùng bao nhiêu ngày phép.</t>
        </is>
      </c>
    </row>
    <row r="22">
      <c r="B22" s="7" t="inlineStr"/>
    </row>
    <row r="23">
      <c r="B23" s="9" t="inlineStr">
        <is>
          <t>Bản cập nhật mới nhất và hướng dẫn chi tiết:</t>
        </is>
      </c>
    </row>
    <row r="24">
      <c r="B24" s="10" t="inlineStr">
        <is>
          <t>https://excel.nguyenvietloc.com/mau-excel/nhan-su/bang-theo-doi-nghi-phep</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