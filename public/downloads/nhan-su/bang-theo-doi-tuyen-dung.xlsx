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heo dõi tuyển dụng" sheetId="1" state="visible" r:id="rId1"/>
    <sheet name="Hướng dẫn" sheetId="2" state="visible" r:id="rId2"/>
  </sheets>
  <definedNames>
    <definedName name="_xlnm._FilterDatabase" localSheetId="0" hidden="1">'Theo dõi tuyển dụng'!$A$1:$O$36</definedName>
  </definedNames>
  <calcPr calcId="124519" fullCalcOnLoad="1"/>
</workbook>
</file>

<file path=xl/styles.xml><?xml version="1.0" encoding="utf-8"?>
<styleSheet xmlns="http://schemas.openxmlformats.org/spreadsheetml/2006/main">
  <numFmts count="4">
    <numFmt numFmtId="164" formatCode="#,##0.##"/>
    <numFmt numFmtId="165" formatCode="yyyy-mm-dd"/>
    <numFmt numFmtId="166" formatCode="dd/mm/yyyy"/>
    <numFmt numFmtId="167" formatCode="#,##0 &quot;₫&quot;"/>
  </numFmts>
  <fonts count="6">
    <font>
      <name val="Calibri"/>
      <family val="2"/>
      <color theme="1"/>
      <sz val="11"/>
      <scheme val="minor"/>
    </font>
    <font>
      <b val="1"/>
      <color rgb="00FFFFFF"/>
      <sz val="11"/>
    </font>
    <font>
      <b val="1"/>
      <sz val="14"/>
    </font>
    <font>
      <b val="1"/>
      <sz val="12"/>
    </font>
    <font>
      <b val="1"/>
    </font>
    <font>
      <color rgb="001D4ED8"/>
      <u val="single"/>
    </font>
  </fonts>
  <fills count="4">
    <fill>
      <patternFill/>
    </fill>
    <fill>
      <patternFill patternType="gray125"/>
    </fill>
    <fill>
      <patternFill patternType="solid">
        <fgColor rgb="001D4ED8"/>
      </patternFill>
    </fill>
    <fill>
      <patternFill patternType="solid">
        <fgColor rgb="00EFF6FF"/>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164" fontId="0" fillId="0" borderId="1" pivotButton="0" quotePrefix="0" xfId="0"/>
    <xf numFmtId="49" fontId="0" fillId="0" borderId="1" pivotButton="0" quotePrefix="0" xfId="0"/>
    <xf numFmtId="166" fontId="0" fillId="0" borderId="1" pivotButton="0" quotePrefix="0" xfId="0"/>
    <xf numFmtId="167" fontId="0" fillId="0" borderId="1" pivotButton="0" quotePrefix="0" xfId="0"/>
    <xf numFmtId="164" fontId="0" fillId="3" borderId="1" pivotButton="0" quotePrefix="0" xfId="0"/>
    <xf numFmtId="167" fontId="0" fillId="3" borderId="1"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excel.nguyenvietloc.com/mau-excel/nhan-su/bang-theo-doi-tuyen-dung" TargetMode="External" Id="rId1" /></Relationships>
</file>

<file path=xl/worksheets/sheet1.xml><?xml version="1.0" encoding="utf-8"?>
<worksheet xmlns="http://schemas.openxmlformats.org/spreadsheetml/2006/main">
  <sheetPr>
    <outlinePr summaryBelow="1" summaryRight="1"/>
    <pageSetUpPr/>
  </sheetPr>
  <dimension ref="A1:O36"/>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24" customWidth="1" min="3" max="3"/>
    <col width="28" customWidth="1" min="4" max="4"/>
    <col width="20" customWidth="1" min="5" max="5"/>
    <col width="14" customWidth="1" min="6" max="6"/>
    <col width="15" customWidth="1" min="7" max="7"/>
    <col width="18" customWidth="1" min="8" max="8"/>
    <col width="16" customWidth="1" min="9" max="9"/>
    <col width="16" customWidth="1" min="10" max="10"/>
    <col width="20" customWidth="1" min="11" max="11"/>
    <col width="14" customWidth="1" min="12" max="12"/>
    <col width="10" customWidth="1" min="13" max="13"/>
    <col width="12" customWidth="1" min="14" max="14"/>
    <col width="17" customWidth="1" min="15" max="15"/>
  </cols>
  <sheetData>
    <row r="1" ht="32" customHeight="1">
      <c r="A1" s="1" t="inlineStr">
        <is>
          <t>STT</t>
        </is>
      </c>
      <c r="B1" s="1" t="inlineStr">
        <is>
          <t>Mã ứng viên</t>
        </is>
      </c>
      <c r="C1" s="1" t="inlineStr">
        <is>
          <t>Họ và tên</t>
        </is>
      </c>
      <c r="D1" s="1" t="inlineStr">
        <is>
          <t>Vị trí ứng tuyển</t>
        </is>
      </c>
      <c r="E1" s="1" t="inlineStr">
        <is>
          <t>Nguồn</t>
        </is>
      </c>
      <c r="F1" s="1" t="inlineStr">
        <is>
          <t>Ngày nhận CV</t>
        </is>
      </c>
      <c r="G1" s="1" t="inlineStr">
        <is>
          <t>Ngày phỏng vấn</t>
        </is>
      </c>
      <c r="H1" s="1" t="inlineStr">
        <is>
          <t>Vòng hiện tại</t>
        </is>
      </c>
      <c r="I1" s="1" t="inlineStr">
        <is>
          <t>Lương đề xuất</t>
        </is>
      </c>
      <c r="J1" s="1" t="inlineStr">
        <is>
          <t>Lương duyệt</t>
        </is>
      </c>
      <c r="K1" s="1" t="inlineStr">
        <is>
          <t>Người phụ trách</t>
        </is>
      </c>
      <c r="L1" s="1" t="inlineStr">
        <is>
          <t>Số ngày xử lý</t>
        </is>
      </c>
      <c r="M1" s="1" t="inlineStr">
        <is>
          <t>Còn mở</t>
        </is>
      </c>
      <c r="N1" s="1" t="inlineStr">
        <is>
          <t>Tuyển được</t>
        </is>
      </c>
      <c r="O1" s="1" t="inlineStr">
        <is>
          <t>Chênh lệch lương</t>
        </is>
      </c>
    </row>
    <row r="2">
      <c r="A2" s="2" t="n">
        <v>1</v>
      </c>
      <c r="B2" s="3" t="inlineStr">
        <is>
          <t>UV-2026-031</t>
        </is>
      </c>
      <c r="C2" s="3" t="inlineStr">
        <is>
          <t>Đỗ Thanh Tùng</t>
        </is>
      </c>
      <c r="D2" s="3" t="inlineStr">
        <is>
          <t>Nhân viên kinh doanh</t>
        </is>
      </c>
      <c r="E2" s="3" t="inlineStr">
        <is>
          <t>TopCV</t>
        </is>
      </c>
      <c r="F2" s="4" t="n">
        <v>46209</v>
      </c>
      <c r="G2" s="4" t="n">
        <v>46213</v>
      </c>
      <c r="H2" s="3" t="inlineStr">
        <is>
          <t>Nhận việc</t>
        </is>
      </c>
      <c r="I2" s="5" t="n">
        <v>14000000</v>
      </c>
      <c r="J2" s="5" t="n">
        <v>13000000</v>
      </c>
      <c r="K2" s="3" t="inlineStr">
        <is>
          <t>Hoàng Thị Lan</t>
        </is>
      </c>
      <c r="L2" s="6">
        <f>IF(C2="","",IF(G2="","",G2-F2))</f>
        <v/>
      </c>
      <c r="M2" s="6">
        <f>IF(C2="","",IF(OR(H2="Nhận việc",H2="Từ chối"),0,1))</f>
        <v/>
      </c>
      <c r="N2" s="6">
        <f>IF(C2="","",IF(H2="Nhận việc",1,0))</f>
        <v/>
      </c>
      <c r="O2" s="7">
        <f>IF(C2="","",IF(J2="","",J2-I2))</f>
        <v/>
      </c>
    </row>
    <row r="3">
      <c r="A3" s="2" t="n">
        <v>2</v>
      </c>
      <c r="B3" s="3" t="inlineStr">
        <is>
          <t>UV-2026-032</t>
        </is>
      </c>
      <c r="C3" s="3" t="inlineStr">
        <is>
          <t>Bùi Khánh Linh</t>
        </is>
      </c>
      <c r="D3" s="3" t="inlineStr">
        <is>
          <t>Nhân viên kinh doanh</t>
        </is>
      </c>
      <c r="E3" s="3" t="inlineStr">
        <is>
          <t>TopCV</t>
        </is>
      </c>
      <c r="F3" s="4" t="n">
        <v>46209</v>
      </c>
      <c r="G3" s="4" t="n">
        <v>46216</v>
      </c>
      <c r="H3" s="3" t="inlineStr">
        <is>
          <t>Từ chối</t>
        </is>
      </c>
      <c r="I3" s="5" t="n">
        <v>15000000</v>
      </c>
      <c r="J3" s="5" t="n"/>
      <c r="K3" s="3" t="inlineStr">
        <is>
          <t>Hoàng Thị Lan</t>
        </is>
      </c>
      <c r="L3" s="6">
        <f>IF(C3="","",IF(G3="","",G3-F3))</f>
        <v/>
      </c>
      <c r="M3" s="6">
        <f>IF(C3="","",IF(OR(H3="Nhận việc",H3="Từ chối"),0,1))</f>
        <v/>
      </c>
      <c r="N3" s="6">
        <f>IF(C3="","",IF(H3="Nhận việc",1,0))</f>
        <v/>
      </c>
      <c r="O3" s="7">
        <f>IF(C3="","",IF(J3="","",J3-I3))</f>
        <v/>
      </c>
    </row>
    <row r="4">
      <c r="A4" s="2" t="n">
        <v>3</v>
      </c>
      <c r="B4" s="3" t="inlineStr">
        <is>
          <t>UV-2026-033</t>
        </is>
      </c>
      <c r="C4" s="3" t="inlineStr">
        <is>
          <t>Ngô Gia Bảo</t>
        </is>
      </c>
      <c r="D4" s="3" t="inlineStr">
        <is>
          <t>Kế toán tổng hợp</t>
        </is>
      </c>
      <c r="E4" s="3" t="inlineStr">
        <is>
          <t>Giới thiệu nội bộ</t>
        </is>
      </c>
      <c r="F4" s="4" t="n">
        <v>46212</v>
      </c>
      <c r="G4" s="4" t="n">
        <v>46217</v>
      </c>
      <c r="H4" s="3" t="inlineStr">
        <is>
          <t>Chờ nhận offer</t>
        </is>
      </c>
      <c r="I4" s="5" t="n">
        <v>17000000</v>
      </c>
      <c r="J4" s="5" t="n">
        <v>18000000</v>
      </c>
      <c r="K4" s="3" t="inlineStr">
        <is>
          <t>Hoàng Thị Lan</t>
        </is>
      </c>
      <c r="L4" s="6">
        <f>IF(C4="","",IF(G4="","",G4-F4))</f>
        <v/>
      </c>
      <c r="M4" s="6">
        <f>IF(C4="","",IF(OR(H4="Nhận việc",H4="Từ chối"),0,1))</f>
        <v/>
      </c>
      <c r="N4" s="6">
        <f>IF(C4="","",IF(H4="Nhận việc",1,0))</f>
        <v/>
      </c>
      <c r="O4" s="7">
        <f>IF(C4="","",IF(J4="","",J4-I4))</f>
        <v/>
      </c>
    </row>
    <row r="5">
      <c r="A5" s="2" t="n">
        <v>4</v>
      </c>
      <c r="B5" s="3" t="inlineStr">
        <is>
          <t>UV-2026-034</t>
        </is>
      </c>
      <c r="C5" s="3" t="inlineStr">
        <is>
          <t>Trịnh Mỹ Duyên</t>
        </is>
      </c>
      <c r="D5" s="3" t="inlineStr">
        <is>
          <t>Kỹ thuật viên bảo trì</t>
        </is>
      </c>
      <c r="E5" s="3" t="inlineStr">
        <is>
          <t>Facebook</t>
        </is>
      </c>
      <c r="F5" s="4" t="n">
        <v>46195</v>
      </c>
      <c r="G5" s="4" t="n"/>
      <c r="H5" s="3" t="inlineStr">
        <is>
          <t>Sàng lọc CV</t>
        </is>
      </c>
      <c r="I5" s="5" t="n">
        <v>12000000</v>
      </c>
      <c r="J5" s="5" t="n"/>
      <c r="K5" s="3" t="inlineStr">
        <is>
          <t>Nguyễn Thị Mai</t>
        </is>
      </c>
      <c r="L5" s="6">
        <f>IF(C5="","",IF(G5="","",G5-F5))</f>
        <v/>
      </c>
      <c r="M5" s="6">
        <f>IF(C5="","",IF(OR(H5="Nhận việc",H5="Từ chối"),0,1))</f>
        <v/>
      </c>
      <c r="N5" s="6">
        <f>IF(C5="","",IF(H5="Nhận việc",1,0))</f>
        <v/>
      </c>
      <c r="O5" s="7">
        <f>IF(C5="","",IF(J5="","",J5-I5))</f>
        <v/>
      </c>
    </row>
    <row r="6">
      <c r="A6" s="2" t="n">
        <v>5</v>
      </c>
      <c r="B6" s="3" t="inlineStr">
        <is>
          <t>UV-2026-035</t>
        </is>
      </c>
      <c r="C6" s="3" t="inlineStr">
        <is>
          <t>Lý Hoàng Nam</t>
        </is>
      </c>
      <c r="D6" s="3" t="inlineStr">
        <is>
          <t>Kỹ thuật viên bảo trì</t>
        </is>
      </c>
      <c r="E6" s="3" t="inlineStr">
        <is>
          <t>Trung tâm giới thiệu</t>
        </is>
      </c>
      <c r="F6" s="4" t="n">
        <v>46205</v>
      </c>
      <c r="G6" s="4" t="n">
        <v>46224</v>
      </c>
      <c r="H6" s="3" t="inlineStr">
        <is>
          <t>Phỏng vấn vòng 2</t>
        </is>
      </c>
      <c r="I6" s="5" t="n">
        <v>13500000</v>
      </c>
      <c r="J6" s="5" t="n"/>
      <c r="K6" s="3" t="inlineStr">
        <is>
          <t>Nguyễn Thị Mai</t>
        </is>
      </c>
      <c r="L6" s="6">
        <f>IF(C6="","",IF(G6="","",G6-F6))</f>
        <v/>
      </c>
      <c r="M6" s="6">
        <f>IF(C6="","",IF(OR(H6="Nhận việc",H6="Từ chối"),0,1))</f>
        <v/>
      </c>
      <c r="N6" s="6">
        <f>IF(C6="","",IF(H6="Nhận việc",1,0))</f>
        <v/>
      </c>
      <c r="O6" s="7">
        <f>IF(C6="","",IF(J6="","",J6-I6))</f>
        <v/>
      </c>
    </row>
    <row r="7">
      <c r="A7" s="2" t="n"/>
      <c r="B7" s="3" t="n"/>
      <c r="C7" s="3" t="n"/>
      <c r="D7" s="3" t="n"/>
      <c r="E7" s="3" t="n"/>
      <c r="F7" s="4" t="n"/>
      <c r="G7" s="4" t="n"/>
      <c r="H7" s="3" t="n"/>
      <c r="I7" s="5" t="n"/>
      <c r="J7" s="5" t="n"/>
      <c r="K7" s="3" t="n"/>
      <c r="L7" s="6">
        <f>IF(C7="","",IF(G7="","",G7-F7))</f>
        <v/>
      </c>
      <c r="M7" s="6">
        <f>IF(C7="","",IF(OR(H7="Nhận việc",H7="Từ chối"),0,1))</f>
        <v/>
      </c>
      <c r="N7" s="6">
        <f>IF(C7="","",IF(H7="Nhận việc",1,0))</f>
        <v/>
      </c>
      <c r="O7" s="7">
        <f>IF(C7="","",IF(J7="","",J7-I7))</f>
        <v/>
      </c>
    </row>
    <row r="8">
      <c r="A8" s="2" t="n"/>
      <c r="B8" s="3" t="n"/>
      <c r="C8" s="3" t="n"/>
      <c r="D8" s="3" t="n"/>
      <c r="E8" s="3" t="n"/>
      <c r="F8" s="4" t="n"/>
      <c r="G8" s="4" t="n"/>
      <c r="H8" s="3" t="n"/>
      <c r="I8" s="5" t="n"/>
      <c r="J8" s="5" t="n"/>
      <c r="K8" s="3" t="n"/>
      <c r="L8" s="6">
        <f>IF(C8="","",IF(G8="","",G8-F8))</f>
        <v/>
      </c>
      <c r="M8" s="6">
        <f>IF(C8="","",IF(OR(H8="Nhận việc",H8="Từ chối"),0,1))</f>
        <v/>
      </c>
      <c r="N8" s="6">
        <f>IF(C8="","",IF(H8="Nhận việc",1,0))</f>
        <v/>
      </c>
      <c r="O8" s="7">
        <f>IF(C8="","",IF(J8="","",J8-I8))</f>
        <v/>
      </c>
    </row>
    <row r="9">
      <c r="A9" s="2" t="n"/>
      <c r="B9" s="3" t="n"/>
      <c r="C9" s="3" t="n"/>
      <c r="D9" s="3" t="n"/>
      <c r="E9" s="3" t="n"/>
      <c r="F9" s="4" t="n"/>
      <c r="G9" s="4" t="n"/>
      <c r="H9" s="3" t="n"/>
      <c r="I9" s="5" t="n"/>
      <c r="J9" s="5" t="n"/>
      <c r="K9" s="3" t="n"/>
      <c r="L9" s="6">
        <f>IF(C9="","",IF(G9="","",G9-F9))</f>
        <v/>
      </c>
      <c r="M9" s="6">
        <f>IF(C9="","",IF(OR(H9="Nhận việc",H9="Từ chối"),0,1))</f>
        <v/>
      </c>
      <c r="N9" s="6">
        <f>IF(C9="","",IF(H9="Nhận việc",1,0))</f>
        <v/>
      </c>
      <c r="O9" s="7">
        <f>IF(C9="","",IF(J9="","",J9-I9))</f>
        <v/>
      </c>
    </row>
    <row r="10">
      <c r="A10" s="2" t="n"/>
      <c r="B10" s="3" t="n"/>
      <c r="C10" s="3" t="n"/>
      <c r="D10" s="3" t="n"/>
      <c r="E10" s="3" t="n"/>
      <c r="F10" s="4" t="n"/>
      <c r="G10" s="4" t="n"/>
      <c r="H10" s="3" t="n"/>
      <c r="I10" s="5" t="n"/>
      <c r="J10" s="5" t="n"/>
      <c r="K10" s="3" t="n"/>
      <c r="L10" s="6">
        <f>IF(C10="","",IF(G10="","",G10-F10))</f>
        <v/>
      </c>
      <c r="M10" s="6">
        <f>IF(C10="","",IF(OR(H10="Nhận việc",H10="Từ chối"),0,1))</f>
        <v/>
      </c>
      <c r="N10" s="6">
        <f>IF(C10="","",IF(H10="Nhận việc",1,0))</f>
        <v/>
      </c>
      <c r="O10" s="7">
        <f>IF(C10="","",IF(J10="","",J10-I10))</f>
        <v/>
      </c>
    </row>
    <row r="11">
      <c r="A11" s="2" t="n"/>
      <c r="B11" s="3" t="n"/>
      <c r="C11" s="3" t="n"/>
      <c r="D11" s="3" t="n"/>
      <c r="E11" s="3" t="n"/>
      <c r="F11" s="4" t="n"/>
      <c r="G11" s="4" t="n"/>
      <c r="H11" s="3" t="n"/>
      <c r="I11" s="5" t="n"/>
      <c r="J11" s="5" t="n"/>
      <c r="K11" s="3" t="n"/>
      <c r="L11" s="6">
        <f>IF(C11="","",IF(G11="","",G11-F11))</f>
        <v/>
      </c>
      <c r="M11" s="6">
        <f>IF(C11="","",IF(OR(H11="Nhận việc",H11="Từ chối"),0,1))</f>
        <v/>
      </c>
      <c r="N11" s="6">
        <f>IF(C11="","",IF(H11="Nhận việc",1,0))</f>
        <v/>
      </c>
      <c r="O11" s="7">
        <f>IF(C11="","",IF(J11="","",J11-I11))</f>
        <v/>
      </c>
    </row>
    <row r="12">
      <c r="A12" s="2" t="n"/>
      <c r="B12" s="3" t="n"/>
      <c r="C12" s="3" t="n"/>
      <c r="D12" s="3" t="n"/>
      <c r="E12" s="3" t="n"/>
      <c r="F12" s="4" t="n"/>
      <c r="G12" s="4" t="n"/>
      <c r="H12" s="3" t="n"/>
      <c r="I12" s="5" t="n"/>
      <c r="J12" s="5" t="n"/>
      <c r="K12" s="3" t="n"/>
      <c r="L12" s="6">
        <f>IF(C12="","",IF(G12="","",G12-F12))</f>
        <v/>
      </c>
      <c r="M12" s="6">
        <f>IF(C12="","",IF(OR(H12="Nhận việc",H12="Từ chối"),0,1))</f>
        <v/>
      </c>
      <c r="N12" s="6">
        <f>IF(C12="","",IF(H12="Nhận việc",1,0))</f>
        <v/>
      </c>
      <c r="O12" s="7">
        <f>IF(C12="","",IF(J12="","",J12-I12))</f>
        <v/>
      </c>
    </row>
    <row r="13">
      <c r="A13" s="2" t="n"/>
      <c r="B13" s="3" t="n"/>
      <c r="C13" s="3" t="n"/>
      <c r="D13" s="3" t="n"/>
      <c r="E13" s="3" t="n"/>
      <c r="F13" s="4" t="n"/>
      <c r="G13" s="4" t="n"/>
      <c r="H13" s="3" t="n"/>
      <c r="I13" s="5" t="n"/>
      <c r="J13" s="5" t="n"/>
      <c r="K13" s="3" t="n"/>
      <c r="L13" s="6">
        <f>IF(C13="","",IF(G13="","",G13-F13))</f>
        <v/>
      </c>
      <c r="M13" s="6">
        <f>IF(C13="","",IF(OR(H13="Nhận việc",H13="Từ chối"),0,1))</f>
        <v/>
      </c>
      <c r="N13" s="6">
        <f>IF(C13="","",IF(H13="Nhận việc",1,0))</f>
        <v/>
      </c>
      <c r="O13" s="7">
        <f>IF(C13="","",IF(J13="","",J13-I13))</f>
        <v/>
      </c>
    </row>
    <row r="14">
      <c r="A14" s="2" t="n"/>
      <c r="B14" s="3" t="n"/>
      <c r="C14" s="3" t="n"/>
      <c r="D14" s="3" t="n"/>
      <c r="E14" s="3" t="n"/>
      <c r="F14" s="4" t="n"/>
      <c r="G14" s="4" t="n"/>
      <c r="H14" s="3" t="n"/>
      <c r="I14" s="5" t="n"/>
      <c r="J14" s="5" t="n"/>
      <c r="K14" s="3" t="n"/>
      <c r="L14" s="6">
        <f>IF(C14="","",IF(G14="","",G14-F14))</f>
        <v/>
      </c>
      <c r="M14" s="6">
        <f>IF(C14="","",IF(OR(H14="Nhận việc",H14="Từ chối"),0,1))</f>
        <v/>
      </c>
      <c r="N14" s="6">
        <f>IF(C14="","",IF(H14="Nhận việc",1,0))</f>
        <v/>
      </c>
      <c r="O14" s="7">
        <f>IF(C14="","",IF(J14="","",J14-I14))</f>
        <v/>
      </c>
    </row>
    <row r="15">
      <c r="A15" s="2" t="n"/>
      <c r="B15" s="3" t="n"/>
      <c r="C15" s="3" t="n"/>
      <c r="D15" s="3" t="n"/>
      <c r="E15" s="3" t="n"/>
      <c r="F15" s="4" t="n"/>
      <c r="G15" s="4" t="n"/>
      <c r="H15" s="3" t="n"/>
      <c r="I15" s="5" t="n"/>
      <c r="J15" s="5" t="n"/>
      <c r="K15" s="3" t="n"/>
      <c r="L15" s="6">
        <f>IF(C15="","",IF(G15="","",G15-F15))</f>
        <v/>
      </c>
      <c r="M15" s="6">
        <f>IF(C15="","",IF(OR(H15="Nhận việc",H15="Từ chối"),0,1))</f>
        <v/>
      </c>
      <c r="N15" s="6">
        <f>IF(C15="","",IF(H15="Nhận việc",1,0))</f>
        <v/>
      </c>
      <c r="O15" s="7">
        <f>IF(C15="","",IF(J15="","",J15-I15))</f>
        <v/>
      </c>
    </row>
    <row r="16">
      <c r="A16" s="2" t="n"/>
      <c r="B16" s="3" t="n"/>
      <c r="C16" s="3" t="n"/>
      <c r="D16" s="3" t="n"/>
      <c r="E16" s="3" t="n"/>
      <c r="F16" s="4" t="n"/>
      <c r="G16" s="4" t="n"/>
      <c r="H16" s="3" t="n"/>
      <c r="I16" s="5" t="n"/>
      <c r="J16" s="5" t="n"/>
      <c r="K16" s="3" t="n"/>
      <c r="L16" s="6">
        <f>IF(C16="","",IF(G16="","",G16-F16))</f>
        <v/>
      </c>
      <c r="M16" s="6">
        <f>IF(C16="","",IF(OR(H16="Nhận việc",H16="Từ chối"),0,1))</f>
        <v/>
      </c>
      <c r="N16" s="6">
        <f>IF(C16="","",IF(H16="Nhận việc",1,0))</f>
        <v/>
      </c>
      <c r="O16" s="7">
        <f>IF(C16="","",IF(J16="","",J16-I16))</f>
        <v/>
      </c>
    </row>
    <row r="17">
      <c r="A17" s="2" t="n"/>
      <c r="B17" s="3" t="n"/>
      <c r="C17" s="3" t="n"/>
      <c r="D17" s="3" t="n"/>
      <c r="E17" s="3" t="n"/>
      <c r="F17" s="4" t="n"/>
      <c r="G17" s="4" t="n"/>
      <c r="H17" s="3" t="n"/>
      <c r="I17" s="5" t="n"/>
      <c r="J17" s="5" t="n"/>
      <c r="K17" s="3" t="n"/>
      <c r="L17" s="6">
        <f>IF(C17="","",IF(G17="","",G17-F17))</f>
        <v/>
      </c>
      <c r="M17" s="6">
        <f>IF(C17="","",IF(OR(H17="Nhận việc",H17="Từ chối"),0,1))</f>
        <v/>
      </c>
      <c r="N17" s="6">
        <f>IF(C17="","",IF(H17="Nhận việc",1,0))</f>
        <v/>
      </c>
      <c r="O17" s="7">
        <f>IF(C17="","",IF(J17="","",J17-I17))</f>
        <v/>
      </c>
    </row>
    <row r="18">
      <c r="A18" s="2" t="n"/>
      <c r="B18" s="3" t="n"/>
      <c r="C18" s="3" t="n"/>
      <c r="D18" s="3" t="n"/>
      <c r="E18" s="3" t="n"/>
      <c r="F18" s="4" t="n"/>
      <c r="G18" s="4" t="n"/>
      <c r="H18" s="3" t="n"/>
      <c r="I18" s="5" t="n"/>
      <c r="J18" s="5" t="n"/>
      <c r="K18" s="3" t="n"/>
      <c r="L18" s="6">
        <f>IF(C18="","",IF(G18="","",G18-F18))</f>
        <v/>
      </c>
      <c r="M18" s="6">
        <f>IF(C18="","",IF(OR(H18="Nhận việc",H18="Từ chối"),0,1))</f>
        <v/>
      </c>
      <c r="N18" s="6">
        <f>IF(C18="","",IF(H18="Nhận việc",1,0))</f>
        <v/>
      </c>
      <c r="O18" s="7">
        <f>IF(C18="","",IF(J18="","",J18-I18))</f>
        <v/>
      </c>
    </row>
    <row r="19">
      <c r="A19" s="2" t="n"/>
      <c r="B19" s="3" t="n"/>
      <c r="C19" s="3" t="n"/>
      <c r="D19" s="3" t="n"/>
      <c r="E19" s="3" t="n"/>
      <c r="F19" s="4" t="n"/>
      <c r="G19" s="4" t="n"/>
      <c r="H19" s="3" t="n"/>
      <c r="I19" s="5" t="n"/>
      <c r="J19" s="5" t="n"/>
      <c r="K19" s="3" t="n"/>
      <c r="L19" s="6">
        <f>IF(C19="","",IF(G19="","",G19-F19))</f>
        <v/>
      </c>
      <c r="M19" s="6">
        <f>IF(C19="","",IF(OR(H19="Nhận việc",H19="Từ chối"),0,1))</f>
        <v/>
      </c>
      <c r="N19" s="6">
        <f>IF(C19="","",IF(H19="Nhận việc",1,0))</f>
        <v/>
      </c>
      <c r="O19" s="7">
        <f>IF(C19="","",IF(J19="","",J19-I19))</f>
        <v/>
      </c>
    </row>
    <row r="20">
      <c r="A20" s="2" t="n"/>
      <c r="B20" s="3" t="n"/>
      <c r="C20" s="3" t="n"/>
      <c r="D20" s="3" t="n"/>
      <c r="E20" s="3" t="n"/>
      <c r="F20" s="4" t="n"/>
      <c r="G20" s="4" t="n"/>
      <c r="H20" s="3" t="n"/>
      <c r="I20" s="5" t="n"/>
      <c r="J20" s="5" t="n"/>
      <c r="K20" s="3" t="n"/>
      <c r="L20" s="6">
        <f>IF(C20="","",IF(G20="","",G20-F20))</f>
        <v/>
      </c>
      <c r="M20" s="6">
        <f>IF(C20="","",IF(OR(H20="Nhận việc",H20="Từ chối"),0,1))</f>
        <v/>
      </c>
      <c r="N20" s="6">
        <f>IF(C20="","",IF(H20="Nhận việc",1,0))</f>
        <v/>
      </c>
      <c r="O20" s="7">
        <f>IF(C20="","",IF(J20="","",J20-I20))</f>
        <v/>
      </c>
    </row>
    <row r="21">
      <c r="A21" s="2" t="n"/>
      <c r="B21" s="3" t="n"/>
      <c r="C21" s="3" t="n"/>
      <c r="D21" s="3" t="n"/>
      <c r="E21" s="3" t="n"/>
      <c r="F21" s="4" t="n"/>
      <c r="G21" s="4" t="n"/>
      <c r="H21" s="3" t="n"/>
      <c r="I21" s="5" t="n"/>
      <c r="J21" s="5" t="n"/>
      <c r="K21" s="3" t="n"/>
      <c r="L21" s="6">
        <f>IF(C21="","",IF(G21="","",G21-F21))</f>
        <v/>
      </c>
      <c r="M21" s="6">
        <f>IF(C21="","",IF(OR(H21="Nhận việc",H21="Từ chối"),0,1))</f>
        <v/>
      </c>
      <c r="N21" s="6">
        <f>IF(C21="","",IF(H21="Nhận việc",1,0))</f>
        <v/>
      </c>
      <c r="O21" s="7">
        <f>IF(C21="","",IF(J21="","",J21-I21))</f>
        <v/>
      </c>
    </row>
    <row r="22">
      <c r="A22" s="2" t="n"/>
      <c r="B22" s="3" t="n"/>
      <c r="C22" s="3" t="n"/>
      <c r="D22" s="3" t="n"/>
      <c r="E22" s="3" t="n"/>
      <c r="F22" s="4" t="n"/>
      <c r="G22" s="4" t="n"/>
      <c r="H22" s="3" t="n"/>
      <c r="I22" s="5" t="n"/>
      <c r="J22" s="5" t="n"/>
      <c r="K22" s="3" t="n"/>
      <c r="L22" s="6">
        <f>IF(C22="","",IF(G22="","",G22-F22))</f>
        <v/>
      </c>
      <c r="M22" s="6">
        <f>IF(C22="","",IF(OR(H22="Nhận việc",H22="Từ chối"),0,1))</f>
        <v/>
      </c>
      <c r="N22" s="6">
        <f>IF(C22="","",IF(H22="Nhận việc",1,0))</f>
        <v/>
      </c>
      <c r="O22" s="7">
        <f>IF(C22="","",IF(J22="","",J22-I22))</f>
        <v/>
      </c>
    </row>
    <row r="23">
      <c r="A23" s="2" t="n"/>
      <c r="B23" s="3" t="n"/>
      <c r="C23" s="3" t="n"/>
      <c r="D23" s="3" t="n"/>
      <c r="E23" s="3" t="n"/>
      <c r="F23" s="4" t="n"/>
      <c r="G23" s="4" t="n"/>
      <c r="H23" s="3" t="n"/>
      <c r="I23" s="5" t="n"/>
      <c r="J23" s="5" t="n"/>
      <c r="K23" s="3" t="n"/>
      <c r="L23" s="6">
        <f>IF(C23="","",IF(G23="","",G23-F23))</f>
        <v/>
      </c>
      <c r="M23" s="6">
        <f>IF(C23="","",IF(OR(H23="Nhận việc",H23="Từ chối"),0,1))</f>
        <v/>
      </c>
      <c r="N23" s="6">
        <f>IF(C23="","",IF(H23="Nhận việc",1,0))</f>
        <v/>
      </c>
      <c r="O23" s="7">
        <f>IF(C23="","",IF(J23="","",J23-I23))</f>
        <v/>
      </c>
    </row>
    <row r="24">
      <c r="A24" s="2" t="n"/>
      <c r="B24" s="3" t="n"/>
      <c r="C24" s="3" t="n"/>
      <c r="D24" s="3" t="n"/>
      <c r="E24" s="3" t="n"/>
      <c r="F24" s="4" t="n"/>
      <c r="G24" s="4" t="n"/>
      <c r="H24" s="3" t="n"/>
      <c r="I24" s="5" t="n"/>
      <c r="J24" s="5" t="n"/>
      <c r="K24" s="3" t="n"/>
      <c r="L24" s="6">
        <f>IF(C24="","",IF(G24="","",G24-F24))</f>
        <v/>
      </c>
      <c r="M24" s="6">
        <f>IF(C24="","",IF(OR(H24="Nhận việc",H24="Từ chối"),0,1))</f>
        <v/>
      </c>
      <c r="N24" s="6">
        <f>IF(C24="","",IF(H24="Nhận việc",1,0))</f>
        <v/>
      </c>
      <c r="O24" s="7">
        <f>IF(C24="","",IF(J24="","",J24-I24))</f>
        <v/>
      </c>
    </row>
    <row r="25">
      <c r="A25" s="2" t="n"/>
      <c r="B25" s="3" t="n"/>
      <c r="C25" s="3" t="n"/>
      <c r="D25" s="3" t="n"/>
      <c r="E25" s="3" t="n"/>
      <c r="F25" s="4" t="n"/>
      <c r="G25" s="4" t="n"/>
      <c r="H25" s="3" t="n"/>
      <c r="I25" s="5" t="n"/>
      <c r="J25" s="5" t="n"/>
      <c r="K25" s="3" t="n"/>
      <c r="L25" s="6">
        <f>IF(C25="","",IF(G25="","",G25-F25))</f>
        <v/>
      </c>
      <c r="M25" s="6">
        <f>IF(C25="","",IF(OR(H25="Nhận việc",H25="Từ chối"),0,1))</f>
        <v/>
      </c>
      <c r="N25" s="6">
        <f>IF(C25="","",IF(H25="Nhận việc",1,0))</f>
        <v/>
      </c>
      <c r="O25" s="7">
        <f>IF(C25="","",IF(J25="","",J25-I25))</f>
        <v/>
      </c>
    </row>
    <row r="26">
      <c r="A26" s="2" t="n"/>
      <c r="B26" s="3" t="n"/>
      <c r="C26" s="3" t="n"/>
      <c r="D26" s="3" t="n"/>
      <c r="E26" s="3" t="n"/>
      <c r="F26" s="4" t="n"/>
      <c r="G26" s="4" t="n"/>
      <c r="H26" s="3" t="n"/>
      <c r="I26" s="5" t="n"/>
      <c r="J26" s="5" t="n"/>
      <c r="K26" s="3" t="n"/>
      <c r="L26" s="6">
        <f>IF(C26="","",IF(G26="","",G26-F26))</f>
        <v/>
      </c>
      <c r="M26" s="6">
        <f>IF(C26="","",IF(OR(H26="Nhận việc",H26="Từ chối"),0,1))</f>
        <v/>
      </c>
      <c r="N26" s="6">
        <f>IF(C26="","",IF(H26="Nhận việc",1,0))</f>
        <v/>
      </c>
      <c r="O26" s="7">
        <f>IF(C26="","",IF(J26="","",J26-I26))</f>
        <v/>
      </c>
    </row>
    <row r="27">
      <c r="A27" s="2" t="n"/>
      <c r="B27" s="3" t="n"/>
      <c r="C27" s="3" t="n"/>
      <c r="D27" s="3" t="n"/>
      <c r="E27" s="3" t="n"/>
      <c r="F27" s="4" t="n"/>
      <c r="G27" s="4" t="n"/>
      <c r="H27" s="3" t="n"/>
      <c r="I27" s="5" t="n"/>
      <c r="J27" s="5" t="n"/>
      <c r="K27" s="3" t="n"/>
      <c r="L27" s="6">
        <f>IF(C27="","",IF(G27="","",G27-F27))</f>
        <v/>
      </c>
      <c r="M27" s="6">
        <f>IF(C27="","",IF(OR(H27="Nhận việc",H27="Từ chối"),0,1))</f>
        <v/>
      </c>
      <c r="N27" s="6">
        <f>IF(C27="","",IF(H27="Nhận việc",1,0))</f>
        <v/>
      </c>
      <c r="O27" s="7">
        <f>IF(C27="","",IF(J27="","",J27-I27))</f>
        <v/>
      </c>
    </row>
    <row r="28">
      <c r="A28" s="2" t="n"/>
      <c r="B28" s="3" t="n"/>
      <c r="C28" s="3" t="n"/>
      <c r="D28" s="3" t="n"/>
      <c r="E28" s="3" t="n"/>
      <c r="F28" s="4" t="n"/>
      <c r="G28" s="4" t="n"/>
      <c r="H28" s="3" t="n"/>
      <c r="I28" s="5" t="n"/>
      <c r="J28" s="5" t="n"/>
      <c r="K28" s="3" t="n"/>
      <c r="L28" s="6">
        <f>IF(C28="","",IF(G28="","",G28-F28))</f>
        <v/>
      </c>
      <c r="M28" s="6">
        <f>IF(C28="","",IF(OR(H28="Nhận việc",H28="Từ chối"),0,1))</f>
        <v/>
      </c>
      <c r="N28" s="6">
        <f>IF(C28="","",IF(H28="Nhận việc",1,0))</f>
        <v/>
      </c>
      <c r="O28" s="7">
        <f>IF(C28="","",IF(J28="","",J28-I28))</f>
        <v/>
      </c>
    </row>
    <row r="29">
      <c r="A29" s="2" t="n"/>
      <c r="B29" s="3" t="n"/>
      <c r="C29" s="3" t="n"/>
      <c r="D29" s="3" t="n"/>
      <c r="E29" s="3" t="n"/>
      <c r="F29" s="4" t="n"/>
      <c r="G29" s="4" t="n"/>
      <c r="H29" s="3" t="n"/>
      <c r="I29" s="5" t="n"/>
      <c r="J29" s="5" t="n"/>
      <c r="K29" s="3" t="n"/>
      <c r="L29" s="6">
        <f>IF(C29="","",IF(G29="","",G29-F29))</f>
        <v/>
      </c>
      <c r="M29" s="6">
        <f>IF(C29="","",IF(OR(H29="Nhận việc",H29="Từ chối"),0,1))</f>
        <v/>
      </c>
      <c r="N29" s="6">
        <f>IF(C29="","",IF(H29="Nhận việc",1,0))</f>
        <v/>
      </c>
      <c r="O29" s="7">
        <f>IF(C29="","",IF(J29="","",J29-I29))</f>
        <v/>
      </c>
    </row>
    <row r="30">
      <c r="A30" s="2" t="n"/>
      <c r="B30" s="3" t="n"/>
      <c r="C30" s="3" t="n"/>
      <c r="D30" s="3" t="n"/>
      <c r="E30" s="3" t="n"/>
      <c r="F30" s="4" t="n"/>
      <c r="G30" s="4" t="n"/>
      <c r="H30" s="3" t="n"/>
      <c r="I30" s="5" t="n"/>
      <c r="J30" s="5" t="n"/>
      <c r="K30" s="3" t="n"/>
      <c r="L30" s="6">
        <f>IF(C30="","",IF(G30="","",G30-F30))</f>
        <v/>
      </c>
      <c r="M30" s="6">
        <f>IF(C30="","",IF(OR(H30="Nhận việc",H30="Từ chối"),0,1))</f>
        <v/>
      </c>
      <c r="N30" s="6">
        <f>IF(C30="","",IF(H30="Nhận việc",1,0))</f>
        <v/>
      </c>
      <c r="O30" s="7">
        <f>IF(C30="","",IF(J30="","",J30-I30))</f>
        <v/>
      </c>
    </row>
    <row r="31">
      <c r="A31" s="2" t="n"/>
      <c r="B31" s="3" t="n"/>
      <c r="C31" s="3" t="n"/>
      <c r="D31" s="3" t="n"/>
      <c r="E31" s="3" t="n"/>
      <c r="F31" s="4" t="n"/>
      <c r="G31" s="4" t="n"/>
      <c r="H31" s="3" t="n"/>
      <c r="I31" s="5" t="n"/>
      <c r="J31" s="5" t="n"/>
      <c r="K31" s="3" t="n"/>
      <c r="L31" s="6">
        <f>IF(C31="","",IF(G31="","",G31-F31))</f>
        <v/>
      </c>
      <c r="M31" s="6">
        <f>IF(C31="","",IF(OR(H31="Nhận việc",H31="Từ chối"),0,1))</f>
        <v/>
      </c>
      <c r="N31" s="6">
        <f>IF(C31="","",IF(H31="Nhận việc",1,0))</f>
        <v/>
      </c>
      <c r="O31" s="7">
        <f>IF(C31="","",IF(J31="","",J31-I31))</f>
        <v/>
      </c>
    </row>
    <row r="32">
      <c r="A32" s="2" t="n"/>
      <c r="B32" s="3" t="n"/>
      <c r="C32" s="3" t="n"/>
      <c r="D32" s="3" t="n"/>
      <c r="E32" s="3" t="n"/>
      <c r="F32" s="4" t="n"/>
      <c r="G32" s="4" t="n"/>
      <c r="H32" s="3" t="n"/>
      <c r="I32" s="5" t="n"/>
      <c r="J32" s="5" t="n"/>
      <c r="K32" s="3" t="n"/>
      <c r="L32" s="6">
        <f>IF(C32="","",IF(G32="","",G32-F32))</f>
        <v/>
      </c>
      <c r="M32" s="6">
        <f>IF(C32="","",IF(OR(H32="Nhận việc",H32="Từ chối"),0,1))</f>
        <v/>
      </c>
      <c r="N32" s="6">
        <f>IF(C32="","",IF(H32="Nhận việc",1,0))</f>
        <v/>
      </c>
      <c r="O32" s="7">
        <f>IF(C32="","",IF(J32="","",J32-I32))</f>
        <v/>
      </c>
    </row>
    <row r="33">
      <c r="A33" s="2" t="n"/>
      <c r="B33" s="3" t="n"/>
      <c r="C33" s="3" t="n"/>
      <c r="D33" s="3" t="n"/>
      <c r="E33" s="3" t="n"/>
      <c r="F33" s="4" t="n"/>
      <c r="G33" s="4" t="n"/>
      <c r="H33" s="3" t="n"/>
      <c r="I33" s="5" t="n"/>
      <c r="J33" s="5" t="n"/>
      <c r="K33" s="3" t="n"/>
      <c r="L33" s="6">
        <f>IF(C33="","",IF(G33="","",G33-F33))</f>
        <v/>
      </c>
      <c r="M33" s="6">
        <f>IF(C33="","",IF(OR(H33="Nhận việc",H33="Từ chối"),0,1))</f>
        <v/>
      </c>
      <c r="N33" s="6">
        <f>IF(C33="","",IF(H33="Nhận việc",1,0))</f>
        <v/>
      </c>
      <c r="O33" s="7">
        <f>IF(C33="","",IF(J33="","",J33-I33))</f>
        <v/>
      </c>
    </row>
    <row r="34">
      <c r="A34" s="2" t="n"/>
      <c r="B34" s="3" t="n"/>
      <c r="C34" s="3" t="n"/>
      <c r="D34" s="3" t="n"/>
      <c r="E34" s="3" t="n"/>
      <c r="F34" s="4" t="n"/>
      <c r="G34" s="4" t="n"/>
      <c r="H34" s="3" t="n"/>
      <c r="I34" s="5" t="n"/>
      <c r="J34" s="5" t="n"/>
      <c r="K34" s="3" t="n"/>
      <c r="L34" s="6">
        <f>IF(C34="","",IF(G34="","",G34-F34))</f>
        <v/>
      </c>
      <c r="M34" s="6">
        <f>IF(C34="","",IF(OR(H34="Nhận việc",H34="Từ chối"),0,1))</f>
        <v/>
      </c>
      <c r="N34" s="6">
        <f>IF(C34="","",IF(H34="Nhận việc",1,0))</f>
        <v/>
      </c>
      <c r="O34" s="7">
        <f>IF(C34="","",IF(J34="","",J34-I34))</f>
        <v/>
      </c>
    </row>
    <row r="35">
      <c r="A35" s="2" t="n"/>
      <c r="B35" s="3" t="n"/>
      <c r="C35" s="3" t="n"/>
      <c r="D35" s="3" t="n"/>
      <c r="E35" s="3" t="n"/>
      <c r="F35" s="4" t="n"/>
      <c r="G35" s="4" t="n"/>
      <c r="H35" s="3" t="n"/>
      <c r="I35" s="5" t="n"/>
      <c r="J35" s="5" t="n"/>
      <c r="K35" s="3" t="n"/>
      <c r="L35" s="6">
        <f>IF(C35="","",IF(G35="","",G35-F35))</f>
        <v/>
      </c>
      <c r="M35" s="6">
        <f>IF(C35="","",IF(OR(H35="Nhận việc",H35="Từ chối"),0,1))</f>
        <v/>
      </c>
      <c r="N35" s="6">
        <f>IF(C35="","",IF(H35="Nhận việc",1,0))</f>
        <v/>
      </c>
      <c r="O35" s="7">
        <f>IF(C35="","",IF(J35="","",J35-I35))</f>
        <v/>
      </c>
    </row>
    <row r="36">
      <c r="A36" s="2" t="n"/>
      <c r="B36" s="3" t="n"/>
      <c r="C36" s="3" t="n"/>
      <c r="D36" s="3" t="n"/>
      <c r="E36" s="3" t="n"/>
      <c r="F36" s="4" t="n"/>
      <c r="G36" s="4" t="n"/>
      <c r="H36" s="3" t="n"/>
      <c r="I36" s="5" t="n"/>
      <c r="J36" s="5" t="n"/>
      <c r="K36" s="3" t="n"/>
      <c r="L36" s="6">
        <f>IF(C36="","",IF(G36="","",G36-F36))</f>
        <v/>
      </c>
      <c r="M36" s="6">
        <f>IF(C36="","",IF(OR(H36="Nhận việc",H36="Từ chối"),0,1))</f>
        <v/>
      </c>
      <c r="N36" s="6">
        <f>IF(C36="","",IF(H36="Nhận việc",1,0))</f>
        <v/>
      </c>
      <c r="O36" s="7">
        <f>IF(C36="","",IF(J36="","",J36-I36))</f>
        <v/>
      </c>
    </row>
  </sheetData>
  <autoFilter ref="A1:O36"/>
  <dataValidations count="2">
    <dataValidation sqref="E2:E36" showDropDown="0" showInputMessage="0" showErrorMessage="0" allowBlank="1" errorTitle="Sai định dạng" error="Giá trị không hợp lệ cho cột này." type="list">
      <formula1>"Website công ty,TopCV,Giới thiệu nội bộ,LinkedIn,Facebook,Trung tâm giới thiệu"</formula1>
    </dataValidation>
    <dataValidation sqref="H2:H36" showDropDown="0" showInputMessage="0" showErrorMessage="0" allowBlank="1" errorTitle="Sai định dạng" error="Giá trị không hợp lệ cho cột này." type="list">
      <formula1>"Sàng lọc CV,Phỏng vấn vòng 1,Phỏng vấn vòng 2,Chờ nhận offer,Nhận việc,Từ chối"</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B26"/>
  <sheetViews>
    <sheetView workbookViewId="0">
      <selection activeCell="A1" sqref="A1"/>
    </sheetView>
  </sheetViews>
  <sheetFormatPr baseColWidth="8" defaultRowHeight="15"/>
  <cols>
    <col width="4" customWidth="1" min="1" max="1"/>
    <col width="100" customWidth="1" min="2" max="2"/>
  </cols>
  <sheetData>
    <row r="1">
      <c r="B1" s="8" t="inlineStr">
        <is>
          <t>Mẫu Excel theo dõi tuyển dụng, đo được nguồn nào ra người thật</t>
        </is>
      </c>
    </row>
    <row r="2">
      <c r="B2" s="9" t="inlineStr"/>
    </row>
    <row r="3">
      <c r="B3" s="10" t="inlineStr">
        <is>
          <t>CÁCH DÙNG</t>
        </is>
      </c>
    </row>
    <row r="4">
      <c r="B4" s="11" t="inlineStr">
        <is>
          <t>1. Ghi một dòng cho mỗi ứng viên cho mỗi vị trí</t>
        </is>
      </c>
    </row>
    <row r="5">
      <c r="B5" s="9" t="inlineStr">
        <is>
          <t xml:space="preserve">   Một người ứng tuyển hai vị trí thì hai dòng, vì họ có thể đỗ vị trí này và trượt vị trí kia. Ngược lại đừng tạo dòng mới khi ứng viên chuyển vòng — chuyển vòng là sửa cột Vòng hiện tại của dòng cũ, không phải thêm dòng.</t>
        </is>
      </c>
    </row>
    <row r="6">
      <c r="B6" s="11" t="inlineStr">
        <is>
          <t>2. Chỉ cập nhật cột Vòng hiện tại, đừng thêm cột đánh dấu</t>
        </is>
      </c>
    </row>
    <row r="7">
      <c r="B7" s="9" t="inlineStr">
        <is>
          <t xml:space="preserve">   Đây là quy tắc quan trọng nhất khi dùng file. Thấy thiếu thông tin thì thêm cột ghi chú, đừng thêm cột kiểu đã gọi điện hay đã gửi thư mời. Có nhiều cột trạng thái song song thì chúng sẽ lệch nhau sau vài tuần, và không ai biết cột nào đúng.</t>
        </is>
      </c>
    </row>
    <row r="8">
      <c r="B8" s="11" t="inlineStr">
        <is>
          <t>3. Điền ngày phỏng vấn ngay khi hẹn được, đừng chờ phỏng vấn xong</t>
        </is>
      </c>
    </row>
    <row r="9">
      <c r="B9" s="9" t="inlineStr">
        <is>
          <t xml:space="preserve">   Cột Số ngày xử lý đo từ ngày nhận hồ sơ đến ngày phỏng vấn đã hẹn. Điền ngay khi hẹn thì con số này phản ánh tốc độ phản hồi của bạn, đúng thứ cần đo. Chờ phỏng vấn xong mới điền thì bảng luôn tụt lại phía sau thực tế.</t>
        </is>
      </c>
    </row>
    <row r="10">
      <c r="B10" s="11" t="inlineStr">
        <is>
          <t>4. Không đóng hồ sơ bằng cách xóa dòng</t>
        </is>
      </c>
    </row>
    <row r="11">
      <c r="B11" s="9" t="inlineStr">
        <is>
          <t xml:space="preserve">   Ứng viên bị loại thì chuyển Vòng hiện tại sang Từ chối, ứng viên nhận việc thì chuyển sang Nhận việc, cả hai trường hợp cột Còn mở tự về 0. Xóa dòng thì mất mẫu số: bạn không còn biết đã sàng bao nhiêu hồ sơ để tuyển được một người, và mọi tỷ lệ chuyển đổi tính ra đều đẹp hơn thực tế.</t>
        </is>
      </c>
    </row>
    <row r="12">
      <c r="B12" s="11" t="inlineStr">
        <is>
          <t>5. Cuối tháng cộng cột Tuyển được theo nguồn</t>
        </is>
      </c>
    </row>
    <row r="13">
      <c r="B13" s="9" t="inlineStr">
        <is>
          <t xml:space="preserve">   SUMIF cột Tuyển được theo cột Nguồn cho ra số người thật sự vào làm từ mỗi kênh, rồi chia cho số hồ sơ của kênh đó là ra tỷ lệ chuyển đổi. Kênh ra nhiều hồ sơ nhất thường không phải kênh ra nhiều người nhất, và đây là chỗ để cắt ngân sách quảng cáo tuyển dụng đúng chỗ.</t>
        </is>
      </c>
    </row>
    <row r="14">
      <c r="B14" s="9" t="inlineStr"/>
    </row>
    <row r="15">
      <c r="B15" s="10" t="inlineStr">
        <is>
          <t>CÔNG THỨC TRONG FILE</t>
        </is>
      </c>
    </row>
    <row r="16">
      <c r="B16" s="11" t="inlineStr">
        <is>
          <t>Số ngày xử lý  —  =IF(C2="","",IF(G2="","",G2-F2))</t>
        </is>
      </c>
    </row>
    <row r="17">
      <c r="B17" s="9" t="inlineStr">
        <is>
          <t xml:space="preserve">   Số ngày từ lúc nhận hồ sơ đến ngày phỏng vấn đã hẹn. Chưa hẹn được thì trả về rỗng chứ không trả về 0, vì 0 sẽ bị hiểu là xử lý trong ngày và làm số bình quân của cả bảng đẹp lên một cách sai.</t>
        </is>
      </c>
    </row>
    <row r="18">
      <c r="B18" s="11" t="inlineStr">
        <is>
          <t>Còn mở  —  =IF(C2="","",IF(OR(H2="Nhận việc",H2="Từ chối"),0,1))</t>
        </is>
      </c>
    </row>
    <row r="19">
      <c r="B19" s="9" t="inlineStr">
        <is>
          <t xml:space="preserve">   Hồ sơ đã kết thúc theo cả hai hướng thì về 0, còn lại là 1. Để dạng số vì cột này để cộng: cộng cả cột ra số hồ sơ đang phải xử lý, cộng theo người phụ trách ra khối lượng việc của từng người.</t>
        </is>
      </c>
    </row>
    <row r="20">
      <c r="B20" s="11" t="inlineStr">
        <is>
          <t>Tuyển được  —  =IF(C2="","",IF(H2="Nhận việc",1,0))</t>
        </is>
      </c>
    </row>
    <row r="21">
      <c r="B21" s="9" t="inlineStr">
        <is>
          <t xml:space="preserve">   Cột đáng giá nhất của bảng. Cộng theo cột Nguồn bằng SUMIF rồi chia cho số hồ sơ của nguồn đó là ra tỷ lệ chuyển đổi thật của từng kênh, thay vì chỉ biết kênh nào gửi về nhiều hồ sơ.</t>
        </is>
      </c>
    </row>
    <row r="22">
      <c r="B22" s="11" t="inlineStr">
        <is>
          <t>Chênh lệch lương  —  =IF(C2="","",IF(J2="","",J2-I2))</t>
        </is>
      </c>
    </row>
    <row r="23">
      <c r="B23" s="9" t="inlineStr">
        <is>
          <t xml:space="preserve">   Lương duyệt trừ lương ứng viên đề xuất. Âm liên tục là khung lương công ty thấp hơn thị trường và bạn sẽ mất người ở vòng cuối. Dương thường xuyên là đang phải trả vượt khung để lấp chỗ. Chưa tới bước duyệt thì rỗng, không phải 0.</t>
        </is>
      </c>
    </row>
    <row r="24">
      <c r="B24" s="9" t="inlineStr"/>
    </row>
    <row r="25">
      <c r="B25" s="11" t="inlineStr">
        <is>
          <t>Bản cập nhật mới nhất và hướng dẫn chi tiết:</t>
        </is>
      </c>
    </row>
    <row r="26">
      <c r="B26" s="12" t="inlineStr">
        <is>
          <t>https://excel.nguyenvietloc.com/mau-excel/nhan-su/bang-theo-doi-tuyen-dung</t>
        </is>
      </c>
    </row>
  </sheetData>
  <hyperlinks>
    <hyperlink xmlns:r="http://schemas.openxmlformats.org/officeDocument/2006/relationships" ref="B26"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2026-07-30T00:13:15Z</dcterms:created>
  <dcterms:modified xsi:type="dcterms:W3CDTF">2026-07-30T00:13:15Z</dcterms:modified>
</cp:coreProperties>
</file>