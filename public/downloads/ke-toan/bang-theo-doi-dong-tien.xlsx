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òng tiền theo tháng" sheetId="1" state="visible" r:id="rId1"/>
    <sheet name="Hướng dẫn" sheetId="2" state="visible" r:id="rId2"/>
  </sheets>
  <definedNames>
    <definedName name="_xlnm._FilterDatabase" localSheetId="0" hidden="1">'Dòng tiền theo tháng'!$A$1:$O$25</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heo-doi-dong-tien" TargetMode="External" Id="rId1" /></Relationships>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8" customWidth="1" min="3" max="3"/>
    <col width="18" customWidth="1" min="4" max="4"/>
    <col width="16" customWidth="1" min="5" max="5"/>
    <col width="18" customWidth="1" min="6" max="6"/>
    <col width="20" customWidth="1" min="7" max="7"/>
    <col width="18" customWidth="1" min="8" max="8"/>
    <col width="16" customWidth="1" min="9" max="9"/>
    <col width="18" customWidth="1" min="10" max="10"/>
    <col width="18" customWidth="1" min="11" max="11"/>
    <col width="18" customWidth="1" min="12" max="12"/>
    <col width="20" customWidth="1" min="13" max="13"/>
    <col width="12" customWidth="1" min="14" max="14"/>
    <col width="30" customWidth="1" min="15" max="15"/>
  </cols>
  <sheetData>
    <row r="1" ht="32" customHeight="1">
      <c r="A1" s="1" t="inlineStr">
        <is>
          <t>STT</t>
        </is>
      </c>
      <c r="B1" s="1" t="inlineStr">
        <is>
          <t>Kỳ</t>
        </is>
      </c>
      <c r="C1" s="1" t="inlineStr">
        <is>
          <t>Số dư đầu kỳ</t>
        </is>
      </c>
      <c r="D1" s="1" t="inlineStr">
        <is>
          <t>Thu bán hàng</t>
        </is>
      </c>
      <c r="E1" s="1" t="inlineStr">
        <is>
          <t>Thu khác</t>
        </is>
      </c>
      <c r="F1" s="1" t="inlineStr">
        <is>
          <t>Chi mua hàng</t>
        </is>
      </c>
      <c r="G1" s="1" t="inlineStr">
        <is>
          <t>Chi lương và bảo hiểm</t>
        </is>
      </c>
      <c r="H1" s="1" t="inlineStr">
        <is>
          <t>Chi vận hành</t>
        </is>
      </c>
      <c r="I1" s="1" t="inlineStr">
        <is>
          <t>Chi khác</t>
        </is>
      </c>
      <c r="J1" s="1" t="inlineStr">
        <is>
          <t>Tổng thu</t>
        </is>
      </c>
      <c r="K1" s="1" t="inlineStr">
        <is>
          <t>Tổng chi</t>
        </is>
      </c>
      <c r="L1" s="1" t="inlineStr">
        <is>
          <t>Dòng tiền ròng</t>
        </is>
      </c>
      <c r="M1" s="1" t="inlineStr">
        <is>
          <t>Số dư cuối kỳ</t>
        </is>
      </c>
      <c r="N1" s="1" t="inlineStr">
        <is>
          <t>Chi / Thu</t>
        </is>
      </c>
      <c r="O1" s="1" t="inlineStr">
        <is>
          <t>Cảnh báo</t>
        </is>
      </c>
    </row>
    <row r="2">
      <c r="A2" s="2" t="n">
        <v>1</v>
      </c>
      <c r="B2" s="3" t="inlineStr">
        <is>
          <t>Tháng 01/2026</t>
        </is>
      </c>
      <c r="C2" s="4" t="n">
        <v>120000000</v>
      </c>
      <c r="D2" s="4" t="n">
        <v>380000000</v>
      </c>
      <c r="E2" s="4" t="n">
        <v>5000000</v>
      </c>
      <c r="F2" s="4" t="n">
        <v>210000000</v>
      </c>
      <c r="G2" s="4" t="n">
        <v>95000000</v>
      </c>
      <c r="H2" s="4" t="n">
        <v>42000000</v>
      </c>
      <c r="I2" s="4" t="n">
        <v>8000000</v>
      </c>
      <c r="J2" s="5">
        <f>IF(B2="","",SUM(D2:E2))</f>
        <v/>
      </c>
      <c r="K2" s="5">
        <f>IF(B2="","",SUM(F2:I2))</f>
        <v/>
      </c>
      <c r="L2" s="5">
        <f>IF(B2="","",J2-K2)</f>
        <v/>
      </c>
      <c r="M2" s="5">
        <f>IF(B2="","",N(M1)+N(C2)+L2)</f>
        <v/>
      </c>
      <c r="N2" s="6">
        <f>IF(B2="","",IFERROR(K2/J2,""))</f>
        <v/>
      </c>
      <c r="O2" s="7">
        <f>IF(B2="","",IF(AND(A2&gt;1,C2&lt;&gt;0),"Số dư đầu kỳ chỉ nhập ở dòng đầu",IF(M2&lt;0,"Âm quỹ - cần thu xếp vốn",IF(AND(J2=0,K2=0),"Chưa nhập số liệu",IF(L2&lt;0,"Âm dòng tiền - chi nhiều hơn thu","Bình thường")))))</f>
        <v/>
      </c>
    </row>
    <row r="3">
      <c r="A3" s="2" t="n">
        <v>2</v>
      </c>
      <c r="B3" s="3" t="inlineStr">
        <is>
          <t>Tháng 02/2026</t>
        </is>
      </c>
      <c r="C3" s="4" t="n">
        <v>0</v>
      </c>
      <c r="D3" s="4" t="n">
        <v>240000000</v>
      </c>
      <c r="E3" s="4" t="n">
        <v>0</v>
      </c>
      <c r="F3" s="4" t="n">
        <v>150000000</v>
      </c>
      <c r="G3" s="4" t="n">
        <v>130000000</v>
      </c>
      <c r="H3" s="4" t="n">
        <v>40000000</v>
      </c>
      <c r="I3" s="4" t="n">
        <v>12000000</v>
      </c>
      <c r="J3" s="5">
        <f>IF(B3="","",SUM(D3:E3))</f>
        <v/>
      </c>
      <c r="K3" s="5">
        <f>IF(B3="","",SUM(F3:I3))</f>
        <v/>
      </c>
      <c r="L3" s="5">
        <f>IF(B3="","",J3-K3)</f>
        <v/>
      </c>
      <c r="M3" s="5">
        <f>IF(B3="","",N(M2)+N(C3)+L3)</f>
        <v/>
      </c>
      <c r="N3" s="6">
        <f>IF(B3="","",IFERROR(K3/J3,""))</f>
        <v/>
      </c>
      <c r="O3" s="7">
        <f>IF(B3="","",IF(AND(A3&gt;1,C3&lt;&gt;0),"Số dư đầu kỳ chỉ nhập ở dòng đầu",IF(M3&lt;0,"Âm quỹ - cần thu xếp vốn",IF(AND(J3=0,K3=0),"Chưa nhập số liệu",IF(L3&lt;0,"Âm dòng tiền - chi nhiều hơn thu","Bình thường")))))</f>
        <v/>
      </c>
    </row>
    <row r="4">
      <c r="A4" s="2" t="n">
        <v>3</v>
      </c>
      <c r="B4" s="3" t="inlineStr">
        <is>
          <t>Tháng 03/2026</t>
        </is>
      </c>
      <c r="C4" s="4" t="n">
        <v>0</v>
      </c>
      <c r="D4" s="4" t="n">
        <v>410000000</v>
      </c>
      <c r="E4" s="4" t="n">
        <v>0</v>
      </c>
      <c r="F4" s="4" t="n">
        <v>260000000</v>
      </c>
      <c r="G4" s="4" t="n">
        <v>95000000</v>
      </c>
      <c r="H4" s="4" t="n">
        <v>43000000</v>
      </c>
      <c r="I4" s="4" t="n">
        <v>6000000</v>
      </c>
      <c r="J4" s="5">
        <f>IF(B4="","",SUM(D4:E4))</f>
        <v/>
      </c>
      <c r="K4" s="5">
        <f>IF(B4="","",SUM(F4:I4))</f>
        <v/>
      </c>
      <c r="L4" s="5">
        <f>IF(B4="","",J4-K4)</f>
        <v/>
      </c>
      <c r="M4" s="5">
        <f>IF(B4="","",N(M3)+N(C4)+L4)</f>
        <v/>
      </c>
      <c r="N4" s="6">
        <f>IF(B4="","",IFERROR(K4/J4,""))</f>
        <v/>
      </c>
      <c r="O4" s="7">
        <f>IF(B4="","",IF(AND(A4&gt;1,C4&lt;&gt;0),"Số dư đầu kỳ chỉ nhập ở dòng đầu",IF(M4&lt;0,"Âm quỹ - cần thu xếp vốn",IF(AND(J4=0,K4=0),"Chưa nhập số liệu",IF(L4&lt;0,"Âm dòng tiền - chi nhiều hơn thu","Bình thường")))))</f>
        <v/>
      </c>
    </row>
    <row r="5">
      <c r="A5" s="2" t="n">
        <v>4</v>
      </c>
      <c r="B5" s="3" t="inlineStr">
        <is>
          <t>Tháng 04/2026</t>
        </is>
      </c>
      <c r="C5" s="4" t="n">
        <v>0</v>
      </c>
      <c r="D5" s="4" t="n">
        <v>350000000</v>
      </c>
      <c r="E5" s="4" t="n">
        <v>2000000</v>
      </c>
      <c r="F5" s="4" t="n">
        <v>300000000</v>
      </c>
      <c r="G5" s="4" t="n">
        <v>95000000</v>
      </c>
      <c r="H5" s="4" t="n">
        <v>45000000</v>
      </c>
      <c r="I5" s="4" t="n">
        <v>30000000</v>
      </c>
      <c r="J5" s="5">
        <f>IF(B5="","",SUM(D5:E5))</f>
        <v/>
      </c>
      <c r="K5" s="5">
        <f>IF(B5="","",SUM(F5:I5))</f>
        <v/>
      </c>
      <c r="L5" s="5">
        <f>IF(B5="","",J5-K5)</f>
        <v/>
      </c>
      <c r="M5" s="5">
        <f>IF(B5="","",N(M4)+N(C5)+L5)</f>
        <v/>
      </c>
      <c r="N5" s="6">
        <f>IF(B5="","",IFERROR(K5/J5,""))</f>
        <v/>
      </c>
      <c r="O5" s="7">
        <f>IF(B5="","",IF(AND(A5&gt;1,C5&lt;&gt;0),"Số dư đầu kỳ chỉ nhập ở dòng đầu",IF(M5&lt;0,"Âm quỹ - cần thu xếp vốn",IF(AND(J5=0,K5=0),"Chưa nhập số liệu",IF(L5&lt;0,"Âm dòng tiền - chi nhiều hơn thu","Bình thường")))))</f>
        <v/>
      </c>
    </row>
    <row r="6">
      <c r="A6" s="2" t="n">
        <v>5</v>
      </c>
      <c r="B6" s="3" t="inlineStr">
        <is>
          <t>Tháng 05/2026</t>
        </is>
      </c>
      <c r="C6" s="4" t="n">
        <v>0</v>
      </c>
      <c r="D6" s="4" t="n">
        <v>520000000</v>
      </c>
      <c r="E6" s="4" t="n">
        <v>60000000</v>
      </c>
      <c r="F6" s="4" t="n">
        <v>300000000</v>
      </c>
      <c r="G6" s="4" t="n">
        <v>98000000</v>
      </c>
      <c r="H6" s="4" t="n">
        <v>46000000</v>
      </c>
      <c r="I6" s="4" t="n">
        <v>10000000</v>
      </c>
      <c r="J6" s="5">
        <f>IF(B6="","",SUM(D6:E6))</f>
        <v/>
      </c>
      <c r="K6" s="5">
        <f>IF(B6="","",SUM(F6:I6))</f>
        <v/>
      </c>
      <c r="L6" s="5">
        <f>IF(B6="","",J6-K6)</f>
        <v/>
      </c>
      <c r="M6" s="5">
        <f>IF(B6="","",N(M5)+N(C6)+L6)</f>
        <v/>
      </c>
      <c r="N6" s="6">
        <f>IF(B6="","",IFERROR(K6/J6,""))</f>
        <v/>
      </c>
      <c r="O6" s="7">
        <f>IF(B6="","",IF(AND(A6&gt;1,C6&lt;&gt;0),"Số dư đầu kỳ chỉ nhập ở dòng đầu",IF(M6&lt;0,"Âm quỹ - cần thu xếp vốn",IF(AND(J6=0,K6=0),"Chưa nhập số liệu",IF(L6&lt;0,"Âm dòng tiền - chi nhiều hơn thu","Bình thường")))))</f>
        <v/>
      </c>
    </row>
    <row r="7">
      <c r="A7" s="2" t="n">
        <v>6</v>
      </c>
      <c r="B7" s="3" t="inlineStr">
        <is>
          <t>Tháng 06/2026</t>
        </is>
      </c>
      <c r="C7" s="4" t="n">
        <v>0</v>
      </c>
      <c r="D7" s="4" t="n">
        <v>480000000</v>
      </c>
      <c r="E7" s="4" t="n">
        <v>0</v>
      </c>
      <c r="F7" s="4" t="n">
        <v>290000000</v>
      </c>
      <c r="G7" s="4" t="n">
        <v>98000000</v>
      </c>
      <c r="H7" s="4" t="n">
        <v>47000000</v>
      </c>
      <c r="I7" s="4" t="n">
        <v>15000000</v>
      </c>
      <c r="J7" s="5">
        <f>IF(B7="","",SUM(D7:E7))</f>
        <v/>
      </c>
      <c r="K7" s="5">
        <f>IF(B7="","",SUM(F7:I7))</f>
        <v/>
      </c>
      <c r="L7" s="5">
        <f>IF(B7="","",J7-K7)</f>
        <v/>
      </c>
      <c r="M7" s="5">
        <f>IF(B7="","",N(M6)+N(C7)+L7)</f>
        <v/>
      </c>
      <c r="N7" s="6">
        <f>IF(B7="","",IFERROR(K7/J7,""))</f>
        <v/>
      </c>
      <c r="O7" s="7">
        <f>IF(B7="","",IF(AND(A7&gt;1,C7&lt;&gt;0),"Số dư đầu kỳ chỉ nhập ở dòng đầu",IF(M7&lt;0,"Âm quỹ - cần thu xếp vốn",IF(AND(J7=0,K7=0),"Chưa nhập số liệu",IF(L7&lt;0,"Âm dòng tiền - chi nhiều hơn thu","Bình thường")))))</f>
        <v/>
      </c>
    </row>
    <row r="8">
      <c r="A8" s="2" t="n"/>
      <c r="B8" s="3" t="n"/>
      <c r="C8" s="4" t="n"/>
      <c r="D8" s="4" t="n"/>
      <c r="E8" s="4" t="n"/>
      <c r="F8" s="4" t="n"/>
      <c r="G8" s="4" t="n"/>
      <c r="H8" s="4" t="n"/>
      <c r="I8" s="4" t="n"/>
      <c r="J8" s="5">
        <f>IF(B8="","",SUM(D8:E8))</f>
        <v/>
      </c>
      <c r="K8" s="5">
        <f>IF(B8="","",SUM(F8:I8))</f>
        <v/>
      </c>
      <c r="L8" s="5">
        <f>IF(B8="","",J8-K8)</f>
        <v/>
      </c>
      <c r="M8" s="5">
        <f>IF(B8="","",N(M7)+N(C8)+L8)</f>
        <v/>
      </c>
      <c r="N8" s="6">
        <f>IF(B8="","",IFERROR(K8/J8,""))</f>
        <v/>
      </c>
      <c r="O8" s="7">
        <f>IF(B8="","",IF(AND(A8&gt;1,C8&lt;&gt;0),"Số dư đầu kỳ chỉ nhập ở dòng đầu",IF(M8&lt;0,"Âm quỹ - cần thu xếp vốn",IF(AND(J8=0,K8=0),"Chưa nhập số liệu",IF(L8&lt;0,"Âm dòng tiền - chi nhiều hơn thu","Bình thường")))))</f>
        <v/>
      </c>
    </row>
    <row r="9">
      <c r="A9" s="2" t="n"/>
      <c r="B9" s="3" t="n"/>
      <c r="C9" s="4" t="n"/>
      <c r="D9" s="4" t="n"/>
      <c r="E9" s="4" t="n"/>
      <c r="F9" s="4" t="n"/>
      <c r="G9" s="4" t="n"/>
      <c r="H9" s="4" t="n"/>
      <c r="I9" s="4" t="n"/>
      <c r="J9" s="5">
        <f>IF(B9="","",SUM(D9:E9))</f>
        <v/>
      </c>
      <c r="K9" s="5">
        <f>IF(B9="","",SUM(F9:I9))</f>
        <v/>
      </c>
      <c r="L9" s="5">
        <f>IF(B9="","",J9-K9)</f>
        <v/>
      </c>
      <c r="M9" s="5">
        <f>IF(B9="","",N(M8)+N(C9)+L9)</f>
        <v/>
      </c>
      <c r="N9" s="6">
        <f>IF(B9="","",IFERROR(K9/J9,""))</f>
        <v/>
      </c>
      <c r="O9" s="7">
        <f>IF(B9="","",IF(AND(A9&gt;1,C9&lt;&gt;0),"Số dư đầu kỳ chỉ nhập ở dòng đầu",IF(M9&lt;0,"Âm quỹ - cần thu xếp vốn",IF(AND(J9=0,K9=0),"Chưa nhập số liệu",IF(L9&lt;0,"Âm dòng tiền - chi nhiều hơn thu","Bình thường")))))</f>
        <v/>
      </c>
    </row>
    <row r="10">
      <c r="A10" s="2" t="n"/>
      <c r="B10" s="3" t="n"/>
      <c r="C10" s="4" t="n"/>
      <c r="D10" s="4" t="n"/>
      <c r="E10" s="4" t="n"/>
      <c r="F10" s="4" t="n"/>
      <c r="G10" s="4" t="n"/>
      <c r="H10" s="4" t="n"/>
      <c r="I10" s="4" t="n"/>
      <c r="J10" s="5">
        <f>IF(B10="","",SUM(D10:E10))</f>
        <v/>
      </c>
      <c r="K10" s="5">
        <f>IF(B10="","",SUM(F10:I10))</f>
        <v/>
      </c>
      <c r="L10" s="5">
        <f>IF(B10="","",J10-K10)</f>
        <v/>
      </c>
      <c r="M10" s="5">
        <f>IF(B10="","",N(M9)+N(C10)+L10)</f>
        <v/>
      </c>
      <c r="N10" s="6">
        <f>IF(B10="","",IFERROR(K10/J10,""))</f>
        <v/>
      </c>
      <c r="O10" s="7">
        <f>IF(B10="","",IF(AND(A10&gt;1,C10&lt;&gt;0),"Số dư đầu kỳ chỉ nhập ở dòng đầu",IF(M10&lt;0,"Âm quỹ - cần thu xếp vốn",IF(AND(J10=0,K10=0),"Chưa nhập số liệu",IF(L10&lt;0,"Âm dòng tiền - chi nhiều hơn thu","Bình thường")))))</f>
        <v/>
      </c>
    </row>
    <row r="11">
      <c r="A11" s="2" t="n"/>
      <c r="B11" s="3" t="n"/>
      <c r="C11" s="4" t="n"/>
      <c r="D11" s="4" t="n"/>
      <c r="E11" s="4" t="n"/>
      <c r="F11" s="4" t="n"/>
      <c r="G11" s="4" t="n"/>
      <c r="H11" s="4" t="n"/>
      <c r="I11" s="4" t="n"/>
      <c r="J11" s="5">
        <f>IF(B11="","",SUM(D11:E11))</f>
        <v/>
      </c>
      <c r="K11" s="5">
        <f>IF(B11="","",SUM(F11:I11))</f>
        <v/>
      </c>
      <c r="L11" s="5">
        <f>IF(B11="","",J11-K11)</f>
        <v/>
      </c>
      <c r="M11" s="5">
        <f>IF(B11="","",N(M10)+N(C11)+L11)</f>
        <v/>
      </c>
      <c r="N11" s="6">
        <f>IF(B11="","",IFERROR(K11/J11,""))</f>
        <v/>
      </c>
      <c r="O11" s="7">
        <f>IF(B11="","",IF(AND(A11&gt;1,C11&lt;&gt;0),"Số dư đầu kỳ chỉ nhập ở dòng đầu",IF(M11&lt;0,"Âm quỹ - cần thu xếp vốn",IF(AND(J11=0,K11=0),"Chưa nhập số liệu",IF(L11&lt;0,"Âm dòng tiền - chi nhiều hơn thu","Bình thường")))))</f>
        <v/>
      </c>
    </row>
    <row r="12">
      <c r="A12" s="2" t="n"/>
      <c r="B12" s="3" t="n"/>
      <c r="C12" s="4" t="n"/>
      <c r="D12" s="4" t="n"/>
      <c r="E12" s="4" t="n"/>
      <c r="F12" s="4" t="n"/>
      <c r="G12" s="4" t="n"/>
      <c r="H12" s="4" t="n"/>
      <c r="I12" s="4" t="n"/>
      <c r="J12" s="5">
        <f>IF(B12="","",SUM(D12:E12))</f>
        <v/>
      </c>
      <c r="K12" s="5">
        <f>IF(B12="","",SUM(F12:I12))</f>
        <v/>
      </c>
      <c r="L12" s="5">
        <f>IF(B12="","",J12-K12)</f>
        <v/>
      </c>
      <c r="M12" s="5">
        <f>IF(B12="","",N(M11)+N(C12)+L12)</f>
        <v/>
      </c>
      <c r="N12" s="6">
        <f>IF(B12="","",IFERROR(K12/J12,""))</f>
        <v/>
      </c>
      <c r="O12" s="7">
        <f>IF(B12="","",IF(AND(A12&gt;1,C12&lt;&gt;0),"Số dư đầu kỳ chỉ nhập ở dòng đầu",IF(M12&lt;0,"Âm quỹ - cần thu xếp vốn",IF(AND(J12=0,K12=0),"Chưa nhập số liệu",IF(L12&lt;0,"Âm dòng tiền - chi nhiều hơn thu","Bình thường")))))</f>
        <v/>
      </c>
    </row>
    <row r="13">
      <c r="A13" s="2" t="n"/>
      <c r="B13" s="3" t="n"/>
      <c r="C13" s="4" t="n"/>
      <c r="D13" s="4" t="n"/>
      <c r="E13" s="4" t="n"/>
      <c r="F13" s="4" t="n"/>
      <c r="G13" s="4" t="n"/>
      <c r="H13" s="4" t="n"/>
      <c r="I13" s="4" t="n"/>
      <c r="J13" s="5">
        <f>IF(B13="","",SUM(D13:E13))</f>
        <v/>
      </c>
      <c r="K13" s="5">
        <f>IF(B13="","",SUM(F13:I13))</f>
        <v/>
      </c>
      <c r="L13" s="5">
        <f>IF(B13="","",J13-K13)</f>
        <v/>
      </c>
      <c r="M13" s="5">
        <f>IF(B13="","",N(M12)+N(C13)+L13)</f>
        <v/>
      </c>
      <c r="N13" s="6">
        <f>IF(B13="","",IFERROR(K13/J13,""))</f>
        <v/>
      </c>
      <c r="O13" s="7">
        <f>IF(B13="","",IF(AND(A13&gt;1,C13&lt;&gt;0),"Số dư đầu kỳ chỉ nhập ở dòng đầu",IF(M13&lt;0,"Âm quỹ - cần thu xếp vốn",IF(AND(J13=0,K13=0),"Chưa nhập số liệu",IF(L13&lt;0,"Âm dòng tiền - chi nhiều hơn thu","Bình thường")))))</f>
        <v/>
      </c>
    </row>
    <row r="14">
      <c r="A14" s="2" t="n"/>
      <c r="B14" s="3" t="n"/>
      <c r="C14" s="4" t="n"/>
      <c r="D14" s="4" t="n"/>
      <c r="E14" s="4" t="n"/>
      <c r="F14" s="4" t="n"/>
      <c r="G14" s="4" t="n"/>
      <c r="H14" s="4" t="n"/>
      <c r="I14" s="4" t="n"/>
      <c r="J14" s="5">
        <f>IF(B14="","",SUM(D14:E14))</f>
        <v/>
      </c>
      <c r="K14" s="5">
        <f>IF(B14="","",SUM(F14:I14))</f>
        <v/>
      </c>
      <c r="L14" s="5">
        <f>IF(B14="","",J14-K14)</f>
        <v/>
      </c>
      <c r="M14" s="5">
        <f>IF(B14="","",N(M13)+N(C14)+L14)</f>
        <v/>
      </c>
      <c r="N14" s="6">
        <f>IF(B14="","",IFERROR(K14/J14,""))</f>
        <v/>
      </c>
      <c r="O14" s="7">
        <f>IF(B14="","",IF(AND(A14&gt;1,C14&lt;&gt;0),"Số dư đầu kỳ chỉ nhập ở dòng đầu",IF(M14&lt;0,"Âm quỹ - cần thu xếp vốn",IF(AND(J14=0,K14=0),"Chưa nhập số liệu",IF(L14&lt;0,"Âm dòng tiền - chi nhiều hơn thu","Bình thường")))))</f>
        <v/>
      </c>
    </row>
    <row r="15">
      <c r="A15" s="2" t="n"/>
      <c r="B15" s="3" t="n"/>
      <c r="C15" s="4" t="n"/>
      <c r="D15" s="4" t="n"/>
      <c r="E15" s="4" t="n"/>
      <c r="F15" s="4" t="n"/>
      <c r="G15" s="4" t="n"/>
      <c r="H15" s="4" t="n"/>
      <c r="I15" s="4" t="n"/>
      <c r="J15" s="5">
        <f>IF(B15="","",SUM(D15:E15))</f>
        <v/>
      </c>
      <c r="K15" s="5">
        <f>IF(B15="","",SUM(F15:I15))</f>
        <v/>
      </c>
      <c r="L15" s="5">
        <f>IF(B15="","",J15-K15)</f>
        <v/>
      </c>
      <c r="M15" s="5">
        <f>IF(B15="","",N(M14)+N(C15)+L15)</f>
        <v/>
      </c>
      <c r="N15" s="6">
        <f>IF(B15="","",IFERROR(K15/J15,""))</f>
        <v/>
      </c>
      <c r="O15" s="7">
        <f>IF(B15="","",IF(AND(A15&gt;1,C15&lt;&gt;0),"Số dư đầu kỳ chỉ nhập ở dòng đầu",IF(M15&lt;0,"Âm quỹ - cần thu xếp vốn",IF(AND(J15=0,K15=0),"Chưa nhập số liệu",IF(L15&lt;0,"Âm dòng tiền - chi nhiều hơn thu","Bình thường")))))</f>
        <v/>
      </c>
    </row>
    <row r="16">
      <c r="A16" s="2" t="n"/>
      <c r="B16" s="3" t="n"/>
      <c r="C16" s="4" t="n"/>
      <c r="D16" s="4" t="n"/>
      <c r="E16" s="4" t="n"/>
      <c r="F16" s="4" t="n"/>
      <c r="G16" s="4" t="n"/>
      <c r="H16" s="4" t="n"/>
      <c r="I16" s="4" t="n"/>
      <c r="J16" s="5">
        <f>IF(B16="","",SUM(D16:E16))</f>
        <v/>
      </c>
      <c r="K16" s="5">
        <f>IF(B16="","",SUM(F16:I16))</f>
        <v/>
      </c>
      <c r="L16" s="5">
        <f>IF(B16="","",J16-K16)</f>
        <v/>
      </c>
      <c r="M16" s="5">
        <f>IF(B16="","",N(M15)+N(C16)+L16)</f>
        <v/>
      </c>
      <c r="N16" s="6">
        <f>IF(B16="","",IFERROR(K16/J16,""))</f>
        <v/>
      </c>
      <c r="O16" s="7">
        <f>IF(B16="","",IF(AND(A16&gt;1,C16&lt;&gt;0),"Số dư đầu kỳ chỉ nhập ở dòng đầu",IF(M16&lt;0,"Âm quỹ - cần thu xếp vốn",IF(AND(J16=0,K16=0),"Chưa nhập số liệu",IF(L16&lt;0,"Âm dòng tiền - chi nhiều hơn thu","Bình thường")))))</f>
        <v/>
      </c>
    </row>
    <row r="17">
      <c r="A17" s="2" t="n"/>
      <c r="B17" s="3" t="n"/>
      <c r="C17" s="4" t="n"/>
      <c r="D17" s="4" t="n"/>
      <c r="E17" s="4" t="n"/>
      <c r="F17" s="4" t="n"/>
      <c r="G17" s="4" t="n"/>
      <c r="H17" s="4" t="n"/>
      <c r="I17" s="4" t="n"/>
      <c r="J17" s="5">
        <f>IF(B17="","",SUM(D17:E17))</f>
        <v/>
      </c>
      <c r="K17" s="5">
        <f>IF(B17="","",SUM(F17:I17))</f>
        <v/>
      </c>
      <c r="L17" s="5">
        <f>IF(B17="","",J17-K17)</f>
        <v/>
      </c>
      <c r="M17" s="5">
        <f>IF(B17="","",N(M16)+N(C17)+L17)</f>
        <v/>
      </c>
      <c r="N17" s="6">
        <f>IF(B17="","",IFERROR(K17/J17,""))</f>
        <v/>
      </c>
      <c r="O17" s="7">
        <f>IF(B17="","",IF(AND(A17&gt;1,C17&lt;&gt;0),"Số dư đầu kỳ chỉ nhập ở dòng đầu",IF(M17&lt;0,"Âm quỹ - cần thu xếp vốn",IF(AND(J17=0,K17=0),"Chưa nhập số liệu",IF(L17&lt;0,"Âm dòng tiền - chi nhiều hơn thu","Bình thường")))))</f>
        <v/>
      </c>
    </row>
    <row r="18">
      <c r="A18" s="2" t="n"/>
      <c r="B18" s="3" t="n"/>
      <c r="C18" s="4" t="n"/>
      <c r="D18" s="4" t="n"/>
      <c r="E18" s="4" t="n"/>
      <c r="F18" s="4" t="n"/>
      <c r="G18" s="4" t="n"/>
      <c r="H18" s="4" t="n"/>
      <c r="I18" s="4" t="n"/>
      <c r="J18" s="5">
        <f>IF(B18="","",SUM(D18:E18))</f>
        <v/>
      </c>
      <c r="K18" s="5">
        <f>IF(B18="","",SUM(F18:I18))</f>
        <v/>
      </c>
      <c r="L18" s="5">
        <f>IF(B18="","",J18-K18)</f>
        <v/>
      </c>
      <c r="M18" s="5">
        <f>IF(B18="","",N(M17)+N(C18)+L18)</f>
        <v/>
      </c>
      <c r="N18" s="6">
        <f>IF(B18="","",IFERROR(K18/J18,""))</f>
        <v/>
      </c>
      <c r="O18" s="7">
        <f>IF(B18="","",IF(AND(A18&gt;1,C18&lt;&gt;0),"Số dư đầu kỳ chỉ nhập ở dòng đầu",IF(M18&lt;0,"Âm quỹ - cần thu xếp vốn",IF(AND(J18=0,K18=0),"Chưa nhập số liệu",IF(L18&lt;0,"Âm dòng tiền - chi nhiều hơn thu","Bình thường")))))</f>
        <v/>
      </c>
    </row>
    <row r="19">
      <c r="A19" s="2" t="n"/>
      <c r="B19" s="3" t="n"/>
      <c r="C19" s="4" t="n"/>
      <c r="D19" s="4" t="n"/>
      <c r="E19" s="4" t="n"/>
      <c r="F19" s="4" t="n"/>
      <c r="G19" s="4" t="n"/>
      <c r="H19" s="4" t="n"/>
      <c r="I19" s="4" t="n"/>
      <c r="J19" s="5">
        <f>IF(B19="","",SUM(D19:E19))</f>
        <v/>
      </c>
      <c r="K19" s="5">
        <f>IF(B19="","",SUM(F19:I19))</f>
        <v/>
      </c>
      <c r="L19" s="5">
        <f>IF(B19="","",J19-K19)</f>
        <v/>
      </c>
      <c r="M19" s="5">
        <f>IF(B19="","",N(M18)+N(C19)+L19)</f>
        <v/>
      </c>
      <c r="N19" s="6">
        <f>IF(B19="","",IFERROR(K19/J19,""))</f>
        <v/>
      </c>
      <c r="O19" s="7">
        <f>IF(B19="","",IF(AND(A19&gt;1,C19&lt;&gt;0),"Số dư đầu kỳ chỉ nhập ở dòng đầu",IF(M19&lt;0,"Âm quỹ - cần thu xếp vốn",IF(AND(J19=0,K19=0),"Chưa nhập số liệu",IF(L19&lt;0,"Âm dòng tiền - chi nhiều hơn thu","Bình thường")))))</f>
        <v/>
      </c>
    </row>
    <row r="20">
      <c r="A20" s="2" t="n"/>
      <c r="B20" s="3" t="n"/>
      <c r="C20" s="4" t="n"/>
      <c r="D20" s="4" t="n"/>
      <c r="E20" s="4" t="n"/>
      <c r="F20" s="4" t="n"/>
      <c r="G20" s="4" t="n"/>
      <c r="H20" s="4" t="n"/>
      <c r="I20" s="4" t="n"/>
      <c r="J20" s="5">
        <f>IF(B20="","",SUM(D20:E20))</f>
        <v/>
      </c>
      <c r="K20" s="5">
        <f>IF(B20="","",SUM(F20:I20))</f>
        <v/>
      </c>
      <c r="L20" s="5">
        <f>IF(B20="","",J20-K20)</f>
        <v/>
      </c>
      <c r="M20" s="5">
        <f>IF(B20="","",N(M19)+N(C20)+L20)</f>
        <v/>
      </c>
      <c r="N20" s="6">
        <f>IF(B20="","",IFERROR(K20/J20,""))</f>
        <v/>
      </c>
      <c r="O20" s="7">
        <f>IF(B20="","",IF(AND(A20&gt;1,C20&lt;&gt;0),"Số dư đầu kỳ chỉ nhập ở dòng đầu",IF(M20&lt;0,"Âm quỹ - cần thu xếp vốn",IF(AND(J20=0,K20=0),"Chưa nhập số liệu",IF(L20&lt;0,"Âm dòng tiền - chi nhiều hơn thu","Bình thường")))))</f>
        <v/>
      </c>
    </row>
    <row r="21">
      <c r="A21" s="2" t="n"/>
      <c r="B21" s="3" t="n"/>
      <c r="C21" s="4" t="n"/>
      <c r="D21" s="4" t="n"/>
      <c r="E21" s="4" t="n"/>
      <c r="F21" s="4" t="n"/>
      <c r="G21" s="4" t="n"/>
      <c r="H21" s="4" t="n"/>
      <c r="I21" s="4" t="n"/>
      <c r="J21" s="5">
        <f>IF(B21="","",SUM(D21:E21))</f>
        <v/>
      </c>
      <c r="K21" s="5">
        <f>IF(B21="","",SUM(F21:I21))</f>
        <v/>
      </c>
      <c r="L21" s="5">
        <f>IF(B21="","",J21-K21)</f>
        <v/>
      </c>
      <c r="M21" s="5">
        <f>IF(B21="","",N(M20)+N(C21)+L21)</f>
        <v/>
      </c>
      <c r="N21" s="6">
        <f>IF(B21="","",IFERROR(K21/J21,""))</f>
        <v/>
      </c>
      <c r="O21" s="7">
        <f>IF(B21="","",IF(AND(A21&gt;1,C21&lt;&gt;0),"Số dư đầu kỳ chỉ nhập ở dòng đầu",IF(M21&lt;0,"Âm quỹ - cần thu xếp vốn",IF(AND(J21=0,K21=0),"Chưa nhập số liệu",IF(L21&lt;0,"Âm dòng tiền - chi nhiều hơn thu","Bình thường")))))</f>
        <v/>
      </c>
    </row>
    <row r="22">
      <c r="A22" s="2" t="n"/>
      <c r="B22" s="3" t="n"/>
      <c r="C22" s="4" t="n"/>
      <c r="D22" s="4" t="n"/>
      <c r="E22" s="4" t="n"/>
      <c r="F22" s="4" t="n"/>
      <c r="G22" s="4" t="n"/>
      <c r="H22" s="4" t="n"/>
      <c r="I22" s="4" t="n"/>
      <c r="J22" s="5">
        <f>IF(B22="","",SUM(D22:E22))</f>
        <v/>
      </c>
      <c r="K22" s="5">
        <f>IF(B22="","",SUM(F22:I22))</f>
        <v/>
      </c>
      <c r="L22" s="5">
        <f>IF(B22="","",J22-K22)</f>
        <v/>
      </c>
      <c r="M22" s="5">
        <f>IF(B22="","",N(M21)+N(C22)+L22)</f>
        <v/>
      </c>
      <c r="N22" s="6">
        <f>IF(B22="","",IFERROR(K22/J22,""))</f>
        <v/>
      </c>
      <c r="O22" s="7">
        <f>IF(B22="","",IF(AND(A22&gt;1,C22&lt;&gt;0),"Số dư đầu kỳ chỉ nhập ở dòng đầu",IF(M22&lt;0,"Âm quỹ - cần thu xếp vốn",IF(AND(J22=0,K22=0),"Chưa nhập số liệu",IF(L22&lt;0,"Âm dòng tiền - chi nhiều hơn thu","Bình thường")))))</f>
        <v/>
      </c>
    </row>
    <row r="23">
      <c r="A23" s="2" t="n"/>
      <c r="B23" s="3" t="n"/>
      <c r="C23" s="4" t="n"/>
      <c r="D23" s="4" t="n"/>
      <c r="E23" s="4" t="n"/>
      <c r="F23" s="4" t="n"/>
      <c r="G23" s="4" t="n"/>
      <c r="H23" s="4" t="n"/>
      <c r="I23" s="4" t="n"/>
      <c r="J23" s="5">
        <f>IF(B23="","",SUM(D23:E23))</f>
        <v/>
      </c>
      <c r="K23" s="5">
        <f>IF(B23="","",SUM(F23:I23))</f>
        <v/>
      </c>
      <c r="L23" s="5">
        <f>IF(B23="","",J23-K23)</f>
        <v/>
      </c>
      <c r="M23" s="5">
        <f>IF(B23="","",N(M22)+N(C23)+L23)</f>
        <v/>
      </c>
      <c r="N23" s="6">
        <f>IF(B23="","",IFERROR(K23/J23,""))</f>
        <v/>
      </c>
      <c r="O23" s="7">
        <f>IF(B23="","",IF(AND(A23&gt;1,C23&lt;&gt;0),"Số dư đầu kỳ chỉ nhập ở dòng đầu",IF(M23&lt;0,"Âm quỹ - cần thu xếp vốn",IF(AND(J23=0,K23=0),"Chưa nhập số liệu",IF(L23&lt;0,"Âm dòng tiền - chi nhiều hơn thu","Bình thường")))))</f>
        <v/>
      </c>
    </row>
    <row r="24">
      <c r="A24" s="2" t="n"/>
      <c r="B24" s="3" t="n"/>
      <c r="C24" s="4" t="n"/>
      <c r="D24" s="4" t="n"/>
      <c r="E24" s="4" t="n"/>
      <c r="F24" s="4" t="n"/>
      <c r="G24" s="4" t="n"/>
      <c r="H24" s="4" t="n"/>
      <c r="I24" s="4" t="n"/>
      <c r="J24" s="5">
        <f>IF(B24="","",SUM(D24:E24))</f>
        <v/>
      </c>
      <c r="K24" s="5">
        <f>IF(B24="","",SUM(F24:I24))</f>
        <v/>
      </c>
      <c r="L24" s="5">
        <f>IF(B24="","",J24-K24)</f>
        <v/>
      </c>
      <c r="M24" s="5">
        <f>IF(B24="","",N(M23)+N(C24)+L24)</f>
        <v/>
      </c>
      <c r="N24" s="6">
        <f>IF(B24="","",IFERROR(K24/J24,""))</f>
        <v/>
      </c>
      <c r="O24" s="7">
        <f>IF(B24="","",IF(AND(A24&gt;1,C24&lt;&gt;0),"Số dư đầu kỳ chỉ nhập ở dòng đầu",IF(M24&lt;0,"Âm quỹ - cần thu xếp vốn",IF(AND(J24=0,K24=0),"Chưa nhập số liệu",IF(L24&lt;0,"Âm dòng tiền - chi nhiều hơn thu","Bình thường")))))</f>
        <v/>
      </c>
    </row>
    <row r="25">
      <c r="A25" s="2" t="n"/>
      <c r="B25" s="3" t="n"/>
      <c r="C25" s="4" t="n"/>
      <c r="D25" s="4" t="n"/>
      <c r="E25" s="4" t="n"/>
      <c r="F25" s="4" t="n"/>
      <c r="G25" s="4" t="n"/>
      <c r="H25" s="4" t="n"/>
      <c r="I25" s="4" t="n"/>
      <c r="J25" s="5">
        <f>IF(B25="","",SUM(D25:E25))</f>
        <v/>
      </c>
      <c r="K25" s="5">
        <f>IF(B25="","",SUM(F25:I25))</f>
        <v/>
      </c>
      <c r="L25" s="5">
        <f>IF(B25="","",J25-K25)</f>
        <v/>
      </c>
      <c r="M25" s="5">
        <f>IF(B25="","",N(M24)+N(C25)+L25)</f>
        <v/>
      </c>
      <c r="N25" s="6">
        <f>IF(B25="","",IFERROR(K25/J25,""))</f>
        <v/>
      </c>
      <c r="O25" s="7">
        <f>IF(B25="","",IF(AND(A25&gt;1,C25&lt;&gt;0),"Số dư đầu kỳ chỉ nhập ở dòng đầu",IF(M25&lt;0,"Âm quỹ - cần thu xếp vốn",IF(AND(J25=0,K25=0),"Chưa nhập số liệu",IF(L25&lt;0,"Âm dòng tiền - chi nhiều hơn thu","Bình thường")))))</f>
        <v/>
      </c>
    </row>
  </sheetData>
  <autoFilter ref="A1:O25"/>
  <dataValidations count="7">
    <dataValidation sqref="C2:C25" showDropDown="0" showInputMessage="0" showErrorMessage="0" allowBlank="1" errorTitle="Sai định dạng" error="Giá trị không hợp lệ cho cột này." type="decimal" operator="between">
      <formula1>0</formula1>
      <formula2>100000000000</formula2>
    </dataValidation>
    <dataValidation sqref="D2:D25" showDropDown="0" showInputMessage="0" showErrorMessage="0" allowBlank="1" errorTitle="Sai định dạng" error="Giá trị không hợp lệ cho cột này." type="decimal" operator="between">
      <formula1>0</formula1>
      <formula2>100000000000</formula2>
    </dataValidation>
    <dataValidation sqref="E2:E25" showDropDown="0" showInputMessage="0" showErrorMessage="0" allowBlank="1" errorTitle="Sai định dạng" error="Giá trị không hợp lệ cho cột này." type="decimal" operator="between">
      <formula1>0</formula1>
      <formula2>100000000000</formula2>
    </dataValidation>
    <dataValidation sqref="F2:F25" showDropDown="0" showInputMessage="0" showErrorMessage="0" allowBlank="1" errorTitle="Sai định dạng" error="Giá trị không hợp lệ cho cột này." type="decimal" operator="between">
      <formula1>0</formula1>
      <formula2>100000000000</formula2>
    </dataValidation>
    <dataValidation sqref="G2:G25" showDropDown="0" showInputMessage="0" showErrorMessage="0" allowBlank="1" errorTitle="Sai định dạng" error="Giá trị không hợp lệ cho cột này." type="decimal" operator="between">
      <formula1>0</formula1>
      <formula2>100000000000</formula2>
    </dataValidation>
    <dataValidation sqref="H2:H25" showDropDown="0" showInputMessage="0" showErrorMessage="0" allowBlank="1" errorTitle="Sai định dạng" error="Giá trị không hợp lệ cho cột này." type="decimal" operator="between">
      <formula1>0</formula1>
      <formula2>100000000000</formula2>
    </dataValidation>
    <dataValidation sqref="I2:I25" showDropDown="0" showInputMessage="0" showErrorMessage="0" allowBlank="1" errorTitle="Sai định dạng" error="Giá trị không hợp lệ cho cột này." type="decimal" operator="between">
      <formula1>0</formula1>
      <formula2>100000000000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0"/>
  <sheetViews>
    <sheetView workbookViewId="0">
      <selection activeCell="A1" sqref="A1"/>
    </sheetView>
  </sheetViews>
  <sheetFormatPr baseColWidth="8" defaultRowHeight="15"/>
  <cols>
    <col width="4" customWidth="1" min="1" max="1"/>
    <col width="100" customWidth="1" min="2" max="2"/>
  </cols>
  <sheetData>
    <row r="1">
      <c r="B1" s="8" t="inlineStr">
        <is>
          <t>Mẫu Excel theo dõi dòng tiền theo tháng (tự cộng dồn số dư)</t>
        </is>
      </c>
    </row>
    <row r="2">
      <c r="B2" s="9" t="inlineStr"/>
    </row>
    <row r="3">
      <c r="B3" s="10" t="inlineStr">
        <is>
          <t>CÁCH DÙNG</t>
        </is>
      </c>
    </row>
    <row r="4">
      <c r="B4" s="11" t="inlineStr">
        <is>
          <t>1. Nhập số dư đầu kỳ vào dòng đầu tiên</t>
        </is>
      </c>
    </row>
    <row r="5">
      <c r="B5" s="9" t="inlineStr">
        <is>
          <t xml:space="preserve">   Cột Số dư đầu kỳ chỉ điền đúng một lần ở dòng đầu, là số tiền bạn đang có ở quỹ và tài khoản ngân hàng lúc bắt đầu theo dõi. Các dòng sau để trống vì số dư đã tự mang sang; điền nhầm ở dòng giữa thì cột cảnh báo sẽ báo lại.</t>
        </is>
      </c>
    </row>
    <row r="6">
      <c r="B6" s="11" t="inlineStr">
        <is>
          <t>2. Gom thu chi của tháng thành nhóm rồi nhập vào</t>
        </is>
      </c>
    </row>
    <row r="7">
      <c r="B7" s="9" t="inlineStr">
        <is>
          <t xml:space="preserve">   Mỗi tháng một dòng. Cộng tất cả khoản thu bán hàng trong tháng thành một số, các khoản thu còn lại (vay, lãi ngân hàng, thanh lý tài sản) vào cột Thu khác, rồi làm tương tự với bốn nhóm chi. Nếu đang dùng mẫu sổ quỹ tiền mặt hoặc bảng kê thu chi, bạn lọc theo khoản mục rồi lấy số tổng của từng nhóm.</t>
        </is>
      </c>
    </row>
    <row r="8">
      <c r="B8" s="11" t="inlineStr">
        <is>
          <t>3. Đọc cột dòng tiền ròng trước, cột số dư sau</t>
        </is>
      </c>
    </row>
    <row r="9">
      <c r="B9" s="9" t="inlineStr">
        <is>
          <t xml:space="preserve">   Dòng tiền ròng âm nghĩa là riêng tháng đó chi nhiều hơn thu — chưa chắc nguy hiểm nếu số dư còn dày. Số dư cuối kỳ âm mới là lúc thật sự hết tiền. Một tháng có thể âm dòng tiền mà vẫn dương số dư, và đó là lý do file tách hai cảnh báo này ra.</t>
        </is>
      </c>
    </row>
    <row r="10">
      <c r="B10" s="11" t="inlineStr">
        <is>
          <t>4. Điền thử các tháng sắp tới</t>
        </is>
      </c>
    </row>
    <row r="11">
      <c r="B11" s="9" t="inlineStr">
        <is>
          <t xml:space="preserve">   Nhập ước tính thu chi cho ba đến sáu tháng tới vào những dòng trống. Cột số dư cuối kỳ sẽ chạy tiếp và chỉ ra tháng nào rơi xuống âm, tức là tháng bạn cần thu xếp vốn hoặc giãn một khoản chi. Đây là công dụng đáng giá nhất của bảng này.</t>
        </is>
      </c>
    </row>
    <row r="12">
      <c r="B12" s="11" t="inlineStr">
        <is>
          <t>5. Đối chiếu cuối mỗi tháng</t>
        </is>
      </c>
    </row>
    <row r="13">
      <c r="B13" s="9" t="inlineStr">
        <is>
          <t xml:space="preserve">   Cuối tháng, so số dư cuối kỳ trên bảng với tổng tiền mặt thực tế cộng số dư tài khoản ngân hàng. Lệch nhau nghĩa là có nhóm thu chi bị bỏ sót khi gom số, rà lại từ sổ quỹ và sao kê ngân hàng của tháng đó.</t>
        </is>
      </c>
    </row>
    <row r="14">
      <c r="B14" s="9" t="inlineStr"/>
    </row>
    <row r="15">
      <c r="B15" s="10" t="inlineStr">
        <is>
          <t>CÔNG THỨC TRONG FILE</t>
        </is>
      </c>
    </row>
    <row r="16">
      <c r="B16" s="11" t="inlineStr">
        <is>
          <t>Tổng thu  —  =IF(B2="","",SUM(D2:E2))</t>
        </is>
      </c>
    </row>
    <row r="17">
      <c r="B17" s="9" t="inlineStr">
        <is>
          <t xml:space="preserve">   Cộng cả khối cột thu của dòng, từ Thu bán hàng tới Thu khác. Viết bằng SUM trên một vùng thay vì cộng từng ô để khi bạn chèn thêm một cột thu vào giữa khối, Excel tự nới vùng ra và công thức không phải sửa.</t>
        </is>
      </c>
    </row>
    <row r="18">
      <c r="B18" s="11" t="inlineStr">
        <is>
          <t>Tổng chi  —  =IF(B2="","",SUM(F2:I2))</t>
        </is>
      </c>
    </row>
    <row r="19">
      <c r="B19" s="9" t="inlineStr">
        <is>
          <t xml:space="preserve">   Cộng cả khối cột chi của dòng, từ Chi mua hàng tới Chi khác. Cột Số dư đầu kỳ nằm ngoài khối này nên không bị cộng nhầm vào chi — đó là lý do nó được đặt trước các cột thu chứ không xen giữa.</t>
        </is>
      </c>
    </row>
    <row r="20">
      <c r="B20" s="11" t="inlineStr">
        <is>
          <t>Dòng tiền ròng  —  =IF(B2="","",J2-K2)</t>
        </is>
      </c>
    </row>
    <row r="21">
      <c r="B21" s="9" t="inlineStr">
        <is>
          <t xml:space="preserve">   Tiền thực nhận trừ tiền thực chi trong kỳ. Số âm nghĩa là riêng kỳ đó chi nhiều hơn thu, chưa chắc đã nguy hiểm nếu số dư mang sang còn dày — hãy đọc kèm cột Số dư cuối kỳ.</t>
        </is>
      </c>
    </row>
    <row r="22">
      <c r="B22" s="11" t="inlineStr">
        <is>
          <t>Số dư cuối kỳ  —  =IF(B2="","",N(M1)+N(C2)+L2)</t>
        </is>
      </c>
    </row>
    <row r="23">
      <c r="B23" s="9" t="inlineStr">
        <is>
          <t xml:space="preserve">   Lấy số dư cuối của dòng ngay trên, cộng số dư đầu kỳ nếu dòng này có nhập, rồi cộng dòng tiền ròng của chính dòng này. Hàm N đọc ô tiêu đề ở dòng đầu tiên thành 0 nên cả cột dùng chung một công thức. Vì công thức trỏ lên đúng một dòng, bảng phải ghi liên tục, không chừa dòng trống ở giữa.</t>
        </is>
      </c>
    </row>
    <row r="24">
      <c r="B24" s="11" t="inlineStr">
        <is>
          <t>Chi / Thu  —  =IF(B2="","",IFERROR(K2/J2,""))</t>
        </is>
      </c>
    </row>
    <row r="25">
      <c r="B25" s="9" t="inlineStr">
        <is>
          <t xml:space="preserve">   Mỗi 100 đồng thu về thì phải chi ra bao nhiêu. Trên 100% là kỳ đó tiêu lẹm vào số dư cũ. Hàm IFERROR để trống ô thay vì hiện lỗi #DIV/0! ở những kỳ chưa có đồng thu nào, thường là kỳ mới bắt đầu điền dự kiến.</t>
        </is>
      </c>
    </row>
    <row r="26">
      <c r="B26" s="11" t="inlineStr">
        <is>
          <t>Cảnh báo  —  =IF(B2="","",IF(AND(A2&gt;1,C2&lt;&gt;0),"Số dư đầu kỳ chỉ nhập ở dòng đầu",IF(M2&lt;0,"Âm quỹ - cần thu xếp vốn",IF(AND(J2=0,K2=0),"Chưa nhập số liệu",IF(L2&lt;0,"Âm dòng tiền - chi nhiều hơn thu","Bình thường")))))</t>
        </is>
      </c>
    </row>
    <row r="27">
      <c r="B27" s="9" t="inlineStr">
        <is>
          <t xml:space="preserve">   Bốn tình huống, xếp theo mức nghiêm trọng giảm dần. Nhập số dư đầu kỳ ở dòng thứ hai trở đi bị bắt trước tiên vì nó cộng thêm tiền vào cả cột và làm mọi dòng bên dưới sai. Âm quỹ nặng hơn âm dòng tiền: âm dòng tiền chỉ là kỳ này chi trội, còn âm quỹ là đến hạn trả mà không còn tiền.</t>
        </is>
      </c>
    </row>
    <row r="28">
      <c r="B28" s="9" t="inlineStr"/>
    </row>
    <row r="29">
      <c r="B29" s="11" t="inlineStr">
        <is>
          <t>Bản cập nhật mới nhất và hướng dẫn chi tiết:</t>
        </is>
      </c>
    </row>
    <row r="30">
      <c r="B30" s="12" t="inlineStr">
        <is>
          <t>https://excel.nguyenvietloc.com/mau-excel/ke-toan/bang-theo-doi-dong-tien</t>
        </is>
      </c>
    </row>
  </sheetData>
  <hyperlinks>
    <hyperlink xmlns:r="http://schemas.openxmlformats.org/officeDocument/2006/relationships" ref="B30"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2026-08-10T14:56:08Z</dcterms:created>
  <dcterms:modified xsi:type="dcterms:W3CDTF">2026-08-10T14:56:08Z</dcterms:modified>
</cp:coreProperties>
</file>