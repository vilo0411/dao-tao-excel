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ự toán ngân sách" sheetId="1" state="visible" r:id="rId1"/>
    <sheet name="Hướng dẫn" sheetId="2" state="visible" r:id="rId2"/>
  </sheets>
  <definedNames>
    <definedName name="_xlnm._FilterDatabase" localSheetId="0" hidden="1">'Dự toán ngân sách'!$A$1:$K$39</definedName>
  </definedNames>
  <calcPr calcId="124519" fullCalcOnLoad="1"/>
</workbook>
</file>

<file path=xl/styles.xml><?xml version="1.0" encoding="utf-8"?>
<styleSheet xmlns="http://schemas.openxmlformats.org/spreadsheetml/2006/main">
  <numFmts count="3">
    <numFmt numFmtId="164" formatCode="#,##0.##"/>
    <numFmt numFmtId="165" formatCode="#,##0 &quot;₫&quot;"/>
    <numFmt numFmtId="166"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166"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du-toan-ngan-sach" TargetMode="External" Id="rId1" /></Relationships>
</file>

<file path=xl/worksheets/sheet1.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0" customWidth="1" min="3" max="3"/>
    <col width="34" customWidth="1" min="4" max="4"/>
    <col width="20" customWidth="1" min="5" max="5"/>
    <col width="18" customWidth="1" min="6" max="6"/>
    <col width="18" customWidth="1" min="7" max="7"/>
    <col width="18" customWidth="1" min="8" max="8"/>
    <col width="18" customWidth="1" min="9" max="9"/>
    <col width="13" customWidth="1" min="10" max="10"/>
    <col width="26" customWidth="1" min="11" max="11"/>
  </cols>
  <sheetData>
    <row r="1" ht="32" customHeight="1">
      <c r="A1" s="1" t="inlineStr">
        <is>
          <t>STT</t>
        </is>
      </c>
      <c r="B1" s="1" t="inlineStr">
        <is>
          <t>Kỳ ngân sách</t>
        </is>
      </c>
      <c r="C1" s="1" t="inlineStr">
        <is>
          <t>Loại</t>
        </is>
      </c>
      <c r="D1" s="1" t="inlineStr">
        <is>
          <t>Khoản mục</t>
        </is>
      </c>
      <c r="E1" s="1" t="inlineStr">
        <is>
          <t>Bộ phận phụ trách</t>
        </is>
      </c>
      <c r="F1" s="1" t="inlineStr">
        <is>
          <t>Dự toán</t>
        </is>
      </c>
      <c r="G1" s="1" t="inlineStr">
        <is>
          <t>Thực tế lũy kế</t>
        </is>
      </c>
      <c r="H1" s="1" t="inlineStr">
        <is>
          <t>Chênh lệch</t>
        </is>
      </c>
      <c r="I1" s="1" t="inlineStr">
        <is>
          <t>Còn lại</t>
        </is>
      </c>
      <c r="J1" s="1" t="inlineStr">
        <is>
          <t>Tỷ lệ thực hiện</t>
        </is>
      </c>
      <c r="K1" s="1" t="inlineStr">
        <is>
          <t>Đánh giá</t>
        </is>
      </c>
    </row>
    <row r="2">
      <c r="A2" s="2" t="n">
        <v>1</v>
      </c>
      <c r="B2" s="3" t="inlineStr">
        <is>
          <t>Quý III/2026</t>
        </is>
      </c>
      <c r="C2" s="3" t="inlineStr">
        <is>
          <t>Thu</t>
        </is>
      </c>
      <c r="D2" s="3" t="inlineStr">
        <is>
          <t>Doanh thu bán hàng khu vực miền Nam</t>
        </is>
      </c>
      <c r="E2" s="3" t="inlineStr">
        <is>
          <t>Kinh doanh</t>
        </is>
      </c>
      <c r="F2" s="4" t="n">
        <v>1800000000</v>
      </c>
      <c r="G2" s="4" t="n">
        <v>1652000000</v>
      </c>
      <c r="H2" s="5">
        <f>IF(D2="","",G2-F2)</f>
        <v/>
      </c>
      <c r="I2" s="5">
        <f>IF(D2="","",F2-G2)</f>
        <v/>
      </c>
      <c r="J2" s="6">
        <f>IF(D2="","",IFERROR(G2/F2,0))</f>
        <v/>
      </c>
      <c r="K2" s="7">
        <f>IF(D2="","",IF(C2="Thu",IF(G2&gt;=F2,"Đạt kế hoạch thu",IF(J2&gt;=0.9,"Sát kế hoạch thu","Hụt kế hoạch thu")),IF(G2&gt;F2,"Vượt ngân sách",IF(J2&gt;=0.9,"Sát trần ngân sách","Trong ngân sách"))))</f>
        <v/>
      </c>
    </row>
    <row r="3">
      <c r="A3" s="2" t="n">
        <v>2</v>
      </c>
      <c r="B3" s="3" t="inlineStr">
        <is>
          <t>Quý III/2026</t>
        </is>
      </c>
      <c r="C3" s="3" t="inlineStr">
        <is>
          <t>Thu</t>
        </is>
      </c>
      <c r="D3" s="3" t="inlineStr">
        <is>
          <t>Doanh thu dịch vụ bảo trì</t>
        </is>
      </c>
      <c r="E3" s="3" t="inlineStr">
        <is>
          <t>Kỹ thuật</t>
        </is>
      </c>
      <c r="F3" s="4" t="n">
        <v>240000000</v>
      </c>
      <c r="G3" s="4" t="n">
        <v>268000000</v>
      </c>
      <c r="H3" s="5">
        <f>IF(D3="","",G3-F3)</f>
        <v/>
      </c>
      <c r="I3" s="5">
        <f>IF(D3="","",F3-G3)</f>
        <v/>
      </c>
      <c r="J3" s="6">
        <f>IF(D3="","",IFERROR(G3/F3,0))</f>
        <v/>
      </c>
      <c r="K3" s="7">
        <f>IF(D3="","",IF(C3="Thu",IF(G3&gt;=F3,"Đạt kế hoạch thu",IF(J3&gt;=0.9,"Sát kế hoạch thu","Hụt kế hoạch thu")),IF(G3&gt;F3,"Vượt ngân sách",IF(J3&gt;=0.9,"Sát trần ngân sách","Trong ngân sách"))))</f>
        <v/>
      </c>
    </row>
    <row r="4">
      <c r="A4" s="2" t="n">
        <v>3</v>
      </c>
      <c r="B4" s="3" t="inlineStr">
        <is>
          <t>Quý III/2026</t>
        </is>
      </c>
      <c r="C4" s="3" t="inlineStr">
        <is>
          <t>Thu</t>
        </is>
      </c>
      <c r="D4" s="3" t="inlineStr">
        <is>
          <t>Doanh thu kênh thương mại điện tử</t>
        </is>
      </c>
      <c r="E4" s="3" t="inlineStr">
        <is>
          <t>Marketing</t>
        </is>
      </c>
      <c r="F4" s="4" t="n">
        <v>320000000</v>
      </c>
      <c r="G4" s="4" t="n">
        <v>214000000</v>
      </c>
      <c r="H4" s="5">
        <f>IF(D4="","",G4-F4)</f>
        <v/>
      </c>
      <c r="I4" s="5">
        <f>IF(D4="","",F4-G4)</f>
        <v/>
      </c>
      <c r="J4" s="6">
        <f>IF(D4="","",IFERROR(G4/F4,0))</f>
        <v/>
      </c>
      <c r="K4" s="7">
        <f>IF(D4="","",IF(C4="Thu",IF(G4&gt;=F4,"Đạt kế hoạch thu",IF(J4&gt;=0.9,"Sát kế hoạch thu","Hụt kế hoạch thu")),IF(G4&gt;F4,"Vượt ngân sách",IF(J4&gt;=0.9,"Sát trần ngân sách","Trong ngân sách"))))</f>
        <v/>
      </c>
    </row>
    <row r="5">
      <c r="A5" s="2" t="n">
        <v>4</v>
      </c>
      <c r="B5" s="3" t="inlineStr">
        <is>
          <t>Quý III/2026</t>
        </is>
      </c>
      <c r="C5" s="3" t="inlineStr">
        <is>
          <t>Chi</t>
        </is>
      </c>
      <c r="D5" s="3" t="inlineStr">
        <is>
          <t>Lương và các khoản trích theo lương</t>
        </is>
      </c>
      <c r="E5" s="3" t="inlineStr">
        <is>
          <t>Hành chính nhân sự</t>
        </is>
      </c>
      <c r="F5" s="4" t="n">
        <v>620000000</v>
      </c>
      <c r="G5" s="4" t="n">
        <v>598000000</v>
      </c>
      <c r="H5" s="5">
        <f>IF(D5="","",G5-F5)</f>
        <v/>
      </c>
      <c r="I5" s="5">
        <f>IF(D5="","",F5-G5)</f>
        <v/>
      </c>
      <c r="J5" s="6">
        <f>IF(D5="","",IFERROR(G5/F5,0))</f>
        <v/>
      </c>
      <c r="K5" s="7">
        <f>IF(D5="","",IF(C5="Thu",IF(G5&gt;=F5,"Đạt kế hoạch thu",IF(J5&gt;=0.9,"Sát kế hoạch thu","Hụt kế hoạch thu")),IF(G5&gt;F5,"Vượt ngân sách",IF(J5&gt;=0.9,"Sát trần ngân sách","Trong ngân sách"))))</f>
        <v/>
      </c>
    </row>
    <row r="6">
      <c r="A6" s="2" t="n">
        <v>5</v>
      </c>
      <c r="B6" s="3" t="inlineStr">
        <is>
          <t>Quý III/2026</t>
        </is>
      </c>
      <c r="C6" s="3" t="inlineStr">
        <is>
          <t>Chi</t>
        </is>
      </c>
      <c r="D6" s="3" t="inlineStr">
        <is>
          <t>Chi phí quảng cáo trực tuyến</t>
        </is>
      </c>
      <c r="E6" s="3" t="inlineStr">
        <is>
          <t>Marketing</t>
        </is>
      </c>
      <c r="F6" s="4" t="n">
        <v>150000000</v>
      </c>
      <c r="G6" s="4" t="n">
        <v>187000000</v>
      </c>
      <c r="H6" s="5">
        <f>IF(D6="","",G6-F6)</f>
        <v/>
      </c>
      <c r="I6" s="5">
        <f>IF(D6="","",F6-G6)</f>
        <v/>
      </c>
      <c r="J6" s="6">
        <f>IF(D6="","",IFERROR(G6/F6,0))</f>
        <v/>
      </c>
      <c r="K6" s="7">
        <f>IF(D6="","",IF(C6="Thu",IF(G6&gt;=F6,"Đạt kế hoạch thu",IF(J6&gt;=0.9,"Sát kế hoạch thu","Hụt kế hoạch thu")),IF(G6&gt;F6,"Vượt ngân sách",IF(J6&gt;=0.9,"Sát trần ngân sách","Trong ngân sách"))))</f>
        <v/>
      </c>
    </row>
    <row r="7">
      <c r="A7" s="2" t="n">
        <v>6</v>
      </c>
      <c r="B7" s="3" t="inlineStr">
        <is>
          <t>Quý III/2026</t>
        </is>
      </c>
      <c r="C7" s="3" t="inlineStr">
        <is>
          <t>Chi</t>
        </is>
      </c>
      <c r="D7" s="3" t="inlineStr">
        <is>
          <t>Thuê văn phòng, điện nước</t>
        </is>
      </c>
      <c r="E7" s="3" t="inlineStr">
        <is>
          <t>Hành chính nhân sự</t>
        </is>
      </c>
      <c r="F7" s="4" t="n">
        <v>180000000</v>
      </c>
      <c r="G7" s="4" t="n">
        <v>180000000</v>
      </c>
      <c r="H7" s="5">
        <f>IF(D7="","",G7-F7)</f>
        <v/>
      </c>
      <c r="I7" s="5">
        <f>IF(D7="","",F7-G7)</f>
        <v/>
      </c>
      <c r="J7" s="6">
        <f>IF(D7="","",IFERROR(G7/F7,0))</f>
        <v/>
      </c>
      <c r="K7" s="7">
        <f>IF(D7="","",IF(C7="Thu",IF(G7&gt;=F7,"Đạt kế hoạch thu",IF(J7&gt;=0.9,"Sát kế hoạch thu","Hụt kế hoạch thu")),IF(G7&gt;F7,"Vượt ngân sách",IF(J7&gt;=0.9,"Sát trần ngân sách","Trong ngân sách"))))</f>
        <v/>
      </c>
    </row>
    <row r="8">
      <c r="A8" s="2" t="n">
        <v>7</v>
      </c>
      <c r="B8" s="3" t="inlineStr">
        <is>
          <t>Quý III/2026</t>
        </is>
      </c>
      <c r="C8" s="3" t="inlineStr">
        <is>
          <t>Chi</t>
        </is>
      </c>
      <c r="D8" s="3" t="inlineStr">
        <is>
          <t>Chi phí vận chuyển giao hàng</t>
        </is>
      </c>
      <c r="E8" s="3" t="inlineStr">
        <is>
          <t>Kho vận</t>
        </is>
      </c>
      <c r="F8" s="4" t="n">
        <v>210000000</v>
      </c>
      <c r="G8" s="4" t="n">
        <v>164000000</v>
      </c>
      <c r="H8" s="5">
        <f>IF(D8="","",G8-F8)</f>
        <v/>
      </c>
      <c r="I8" s="5">
        <f>IF(D8="","",F8-G8)</f>
        <v/>
      </c>
      <c r="J8" s="6">
        <f>IF(D8="","",IFERROR(G8/F8,0))</f>
        <v/>
      </c>
      <c r="K8" s="7">
        <f>IF(D8="","",IF(C8="Thu",IF(G8&gt;=F8,"Đạt kế hoạch thu",IF(J8&gt;=0.9,"Sát kế hoạch thu","Hụt kế hoạch thu")),IF(G8&gt;F8,"Vượt ngân sách",IF(J8&gt;=0.9,"Sát trần ngân sách","Trong ngân sách"))))</f>
        <v/>
      </c>
    </row>
    <row r="9">
      <c r="A9" s="2" t="n">
        <v>8</v>
      </c>
      <c r="B9" s="3" t="inlineStr">
        <is>
          <t>Quý III/2026</t>
        </is>
      </c>
      <c r="C9" s="3" t="inlineStr">
        <is>
          <t>Chi</t>
        </is>
      </c>
      <c r="D9" s="3" t="inlineStr">
        <is>
          <t>Mua sắm thiết bị văn phòng</t>
        </is>
      </c>
      <c r="E9" s="3" t="inlineStr">
        <is>
          <t>Hành chính nhân sự</t>
        </is>
      </c>
      <c r="F9" s="4" t="n">
        <v>90000000</v>
      </c>
      <c r="G9" s="4" t="n">
        <v>0</v>
      </c>
      <c r="H9" s="5">
        <f>IF(D9="","",G9-F9)</f>
        <v/>
      </c>
      <c r="I9" s="5">
        <f>IF(D9="","",F9-G9)</f>
        <v/>
      </c>
      <c r="J9" s="6">
        <f>IF(D9="","",IFERROR(G9/F9,0))</f>
        <v/>
      </c>
      <c r="K9" s="7">
        <f>IF(D9="","",IF(C9="Thu",IF(G9&gt;=F9,"Đạt kế hoạch thu",IF(J9&gt;=0.9,"Sát kế hoạch thu","Hụt kế hoạch thu")),IF(G9&gt;F9,"Vượt ngân sách",IF(J9&gt;=0.9,"Sát trần ngân sách","Trong ngân sách"))))</f>
        <v/>
      </c>
    </row>
    <row r="10">
      <c r="A10" s="2" t="n"/>
      <c r="B10" s="3" t="n"/>
      <c r="C10" s="3" t="n"/>
      <c r="D10" s="3" t="n"/>
      <c r="E10" s="3" t="n"/>
      <c r="F10" s="4" t="n"/>
      <c r="G10" s="4" t="n"/>
      <c r="H10" s="5">
        <f>IF(D10="","",G10-F10)</f>
        <v/>
      </c>
      <c r="I10" s="5">
        <f>IF(D10="","",F10-G10)</f>
        <v/>
      </c>
      <c r="J10" s="6">
        <f>IF(D10="","",IFERROR(G10/F10,0))</f>
        <v/>
      </c>
      <c r="K10" s="7">
        <f>IF(D10="","",IF(C10="Thu",IF(G10&gt;=F10,"Đạt kế hoạch thu",IF(J10&gt;=0.9,"Sát kế hoạch thu","Hụt kế hoạch thu")),IF(G10&gt;F10,"Vượt ngân sách",IF(J10&gt;=0.9,"Sát trần ngân sách","Trong ngân sách"))))</f>
        <v/>
      </c>
    </row>
    <row r="11">
      <c r="A11" s="2" t="n"/>
      <c r="B11" s="3" t="n"/>
      <c r="C11" s="3" t="n"/>
      <c r="D11" s="3" t="n"/>
      <c r="E11" s="3" t="n"/>
      <c r="F11" s="4" t="n"/>
      <c r="G11" s="4" t="n"/>
      <c r="H11" s="5">
        <f>IF(D11="","",G11-F11)</f>
        <v/>
      </c>
      <c r="I11" s="5">
        <f>IF(D11="","",F11-G11)</f>
        <v/>
      </c>
      <c r="J11" s="6">
        <f>IF(D11="","",IFERROR(G11/F11,0))</f>
        <v/>
      </c>
      <c r="K11" s="7">
        <f>IF(D11="","",IF(C11="Thu",IF(G11&gt;=F11,"Đạt kế hoạch thu",IF(J11&gt;=0.9,"Sát kế hoạch thu","Hụt kế hoạch thu")),IF(G11&gt;F11,"Vượt ngân sách",IF(J11&gt;=0.9,"Sát trần ngân sách","Trong ngân sách"))))</f>
        <v/>
      </c>
    </row>
    <row r="12">
      <c r="A12" s="2" t="n"/>
      <c r="B12" s="3" t="n"/>
      <c r="C12" s="3" t="n"/>
      <c r="D12" s="3" t="n"/>
      <c r="E12" s="3" t="n"/>
      <c r="F12" s="4" t="n"/>
      <c r="G12" s="4" t="n"/>
      <c r="H12" s="5">
        <f>IF(D12="","",G12-F12)</f>
        <v/>
      </c>
      <c r="I12" s="5">
        <f>IF(D12="","",F12-G12)</f>
        <v/>
      </c>
      <c r="J12" s="6">
        <f>IF(D12="","",IFERROR(G12/F12,0))</f>
        <v/>
      </c>
      <c r="K12" s="7">
        <f>IF(D12="","",IF(C12="Thu",IF(G12&gt;=F12,"Đạt kế hoạch thu",IF(J12&gt;=0.9,"Sát kế hoạch thu","Hụt kế hoạch thu")),IF(G12&gt;F12,"Vượt ngân sách",IF(J12&gt;=0.9,"Sát trần ngân sách","Trong ngân sách"))))</f>
        <v/>
      </c>
    </row>
    <row r="13">
      <c r="A13" s="2" t="n"/>
      <c r="B13" s="3" t="n"/>
      <c r="C13" s="3" t="n"/>
      <c r="D13" s="3" t="n"/>
      <c r="E13" s="3" t="n"/>
      <c r="F13" s="4" t="n"/>
      <c r="G13" s="4" t="n"/>
      <c r="H13" s="5">
        <f>IF(D13="","",G13-F13)</f>
        <v/>
      </c>
      <c r="I13" s="5">
        <f>IF(D13="","",F13-G13)</f>
        <v/>
      </c>
      <c r="J13" s="6">
        <f>IF(D13="","",IFERROR(G13/F13,0))</f>
        <v/>
      </c>
      <c r="K13" s="7">
        <f>IF(D13="","",IF(C13="Thu",IF(G13&gt;=F13,"Đạt kế hoạch thu",IF(J13&gt;=0.9,"Sát kế hoạch thu","Hụt kế hoạch thu")),IF(G13&gt;F13,"Vượt ngân sách",IF(J13&gt;=0.9,"Sát trần ngân sách","Trong ngân sách"))))</f>
        <v/>
      </c>
    </row>
    <row r="14">
      <c r="A14" s="2" t="n"/>
      <c r="B14" s="3" t="n"/>
      <c r="C14" s="3" t="n"/>
      <c r="D14" s="3" t="n"/>
      <c r="E14" s="3" t="n"/>
      <c r="F14" s="4" t="n"/>
      <c r="G14" s="4" t="n"/>
      <c r="H14" s="5">
        <f>IF(D14="","",G14-F14)</f>
        <v/>
      </c>
      <c r="I14" s="5">
        <f>IF(D14="","",F14-G14)</f>
        <v/>
      </c>
      <c r="J14" s="6">
        <f>IF(D14="","",IFERROR(G14/F14,0))</f>
        <v/>
      </c>
      <c r="K14" s="7">
        <f>IF(D14="","",IF(C14="Thu",IF(G14&gt;=F14,"Đạt kế hoạch thu",IF(J14&gt;=0.9,"Sát kế hoạch thu","Hụt kế hoạch thu")),IF(G14&gt;F14,"Vượt ngân sách",IF(J14&gt;=0.9,"Sát trần ngân sách","Trong ngân sách"))))</f>
        <v/>
      </c>
    </row>
    <row r="15">
      <c r="A15" s="2" t="n"/>
      <c r="B15" s="3" t="n"/>
      <c r="C15" s="3" t="n"/>
      <c r="D15" s="3" t="n"/>
      <c r="E15" s="3" t="n"/>
      <c r="F15" s="4" t="n"/>
      <c r="G15" s="4" t="n"/>
      <c r="H15" s="5">
        <f>IF(D15="","",G15-F15)</f>
        <v/>
      </c>
      <c r="I15" s="5">
        <f>IF(D15="","",F15-G15)</f>
        <v/>
      </c>
      <c r="J15" s="6">
        <f>IF(D15="","",IFERROR(G15/F15,0))</f>
        <v/>
      </c>
      <c r="K15" s="7">
        <f>IF(D15="","",IF(C15="Thu",IF(G15&gt;=F15,"Đạt kế hoạch thu",IF(J15&gt;=0.9,"Sát kế hoạch thu","Hụt kế hoạch thu")),IF(G15&gt;F15,"Vượt ngân sách",IF(J15&gt;=0.9,"Sát trần ngân sách","Trong ngân sách"))))</f>
        <v/>
      </c>
    </row>
    <row r="16">
      <c r="A16" s="2" t="n"/>
      <c r="B16" s="3" t="n"/>
      <c r="C16" s="3" t="n"/>
      <c r="D16" s="3" t="n"/>
      <c r="E16" s="3" t="n"/>
      <c r="F16" s="4" t="n"/>
      <c r="G16" s="4" t="n"/>
      <c r="H16" s="5">
        <f>IF(D16="","",G16-F16)</f>
        <v/>
      </c>
      <c r="I16" s="5">
        <f>IF(D16="","",F16-G16)</f>
        <v/>
      </c>
      <c r="J16" s="6">
        <f>IF(D16="","",IFERROR(G16/F16,0))</f>
        <v/>
      </c>
      <c r="K16" s="7">
        <f>IF(D16="","",IF(C16="Thu",IF(G16&gt;=F16,"Đạt kế hoạch thu",IF(J16&gt;=0.9,"Sát kế hoạch thu","Hụt kế hoạch thu")),IF(G16&gt;F16,"Vượt ngân sách",IF(J16&gt;=0.9,"Sát trần ngân sách","Trong ngân sách"))))</f>
        <v/>
      </c>
    </row>
    <row r="17">
      <c r="A17" s="2" t="n"/>
      <c r="B17" s="3" t="n"/>
      <c r="C17" s="3" t="n"/>
      <c r="D17" s="3" t="n"/>
      <c r="E17" s="3" t="n"/>
      <c r="F17" s="4" t="n"/>
      <c r="G17" s="4" t="n"/>
      <c r="H17" s="5">
        <f>IF(D17="","",G17-F17)</f>
        <v/>
      </c>
      <c r="I17" s="5">
        <f>IF(D17="","",F17-G17)</f>
        <v/>
      </c>
      <c r="J17" s="6">
        <f>IF(D17="","",IFERROR(G17/F17,0))</f>
        <v/>
      </c>
      <c r="K17" s="7">
        <f>IF(D17="","",IF(C17="Thu",IF(G17&gt;=F17,"Đạt kế hoạch thu",IF(J17&gt;=0.9,"Sát kế hoạch thu","Hụt kế hoạch thu")),IF(G17&gt;F17,"Vượt ngân sách",IF(J17&gt;=0.9,"Sát trần ngân sách","Trong ngân sách"))))</f>
        <v/>
      </c>
    </row>
    <row r="18">
      <c r="A18" s="2" t="n"/>
      <c r="B18" s="3" t="n"/>
      <c r="C18" s="3" t="n"/>
      <c r="D18" s="3" t="n"/>
      <c r="E18" s="3" t="n"/>
      <c r="F18" s="4" t="n"/>
      <c r="G18" s="4" t="n"/>
      <c r="H18" s="5">
        <f>IF(D18="","",G18-F18)</f>
        <v/>
      </c>
      <c r="I18" s="5">
        <f>IF(D18="","",F18-G18)</f>
        <v/>
      </c>
      <c r="J18" s="6">
        <f>IF(D18="","",IFERROR(G18/F18,0))</f>
        <v/>
      </c>
      <c r="K18" s="7">
        <f>IF(D18="","",IF(C18="Thu",IF(G18&gt;=F18,"Đạt kế hoạch thu",IF(J18&gt;=0.9,"Sát kế hoạch thu","Hụt kế hoạch thu")),IF(G18&gt;F18,"Vượt ngân sách",IF(J18&gt;=0.9,"Sát trần ngân sách","Trong ngân sách"))))</f>
        <v/>
      </c>
    </row>
    <row r="19">
      <c r="A19" s="2" t="n"/>
      <c r="B19" s="3" t="n"/>
      <c r="C19" s="3" t="n"/>
      <c r="D19" s="3" t="n"/>
      <c r="E19" s="3" t="n"/>
      <c r="F19" s="4" t="n"/>
      <c r="G19" s="4" t="n"/>
      <c r="H19" s="5">
        <f>IF(D19="","",G19-F19)</f>
        <v/>
      </c>
      <c r="I19" s="5">
        <f>IF(D19="","",F19-G19)</f>
        <v/>
      </c>
      <c r="J19" s="6">
        <f>IF(D19="","",IFERROR(G19/F19,0))</f>
        <v/>
      </c>
      <c r="K19" s="7">
        <f>IF(D19="","",IF(C19="Thu",IF(G19&gt;=F19,"Đạt kế hoạch thu",IF(J19&gt;=0.9,"Sát kế hoạch thu","Hụt kế hoạch thu")),IF(G19&gt;F19,"Vượt ngân sách",IF(J19&gt;=0.9,"Sát trần ngân sách","Trong ngân sách"))))</f>
        <v/>
      </c>
    </row>
    <row r="20">
      <c r="A20" s="2" t="n"/>
      <c r="B20" s="3" t="n"/>
      <c r="C20" s="3" t="n"/>
      <c r="D20" s="3" t="n"/>
      <c r="E20" s="3" t="n"/>
      <c r="F20" s="4" t="n"/>
      <c r="G20" s="4" t="n"/>
      <c r="H20" s="5">
        <f>IF(D20="","",G20-F20)</f>
        <v/>
      </c>
      <c r="I20" s="5">
        <f>IF(D20="","",F20-G20)</f>
        <v/>
      </c>
      <c r="J20" s="6">
        <f>IF(D20="","",IFERROR(G20/F20,0))</f>
        <v/>
      </c>
      <c r="K20" s="7">
        <f>IF(D20="","",IF(C20="Thu",IF(G20&gt;=F20,"Đạt kế hoạch thu",IF(J20&gt;=0.9,"Sát kế hoạch thu","Hụt kế hoạch thu")),IF(G20&gt;F20,"Vượt ngân sách",IF(J20&gt;=0.9,"Sát trần ngân sách","Trong ngân sách"))))</f>
        <v/>
      </c>
    </row>
    <row r="21">
      <c r="A21" s="2" t="n"/>
      <c r="B21" s="3" t="n"/>
      <c r="C21" s="3" t="n"/>
      <c r="D21" s="3" t="n"/>
      <c r="E21" s="3" t="n"/>
      <c r="F21" s="4" t="n"/>
      <c r="G21" s="4" t="n"/>
      <c r="H21" s="5">
        <f>IF(D21="","",G21-F21)</f>
        <v/>
      </c>
      <c r="I21" s="5">
        <f>IF(D21="","",F21-G21)</f>
        <v/>
      </c>
      <c r="J21" s="6">
        <f>IF(D21="","",IFERROR(G21/F21,0))</f>
        <v/>
      </c>
      <c r="K21" s="7">
        <f>IF(D21="","",IF(C21="Thu",IF(G21&gt;=F21,"Đạt kế hoạch thu",IF(J21&gt;=0.9,"Sát kế hoạch thu","Hụt kế hoạch thu")),IF(G21&gt;F21,"Vượt ngân sách",IF(J21&gt;=0.9,"Sát trần ngân sách","Trong ngân sách"))))</f>
        <v/>
      </c>
    </row>
    <row r="22">
      <c r="A22" s="2" t="n"/>
      <c r="B22" s="3" t="n"/>
      <c r="C22" s="3" t="n"/>
      <c r="D22" s="3" t="n"/>
      <c r="E22" s="3" t="n"/>
      <c r="F22" s="4" t="n"/>
      <c r="G22" s="4" t="n"/>
      <c r="H22" s="5">
        <f>IF(D22="","",G22-F22)</f>
        <v/>
      </c>
      <c r="I22" s="5">
        <f>IF(D22="","",F22-G22)</f>
        <v/>
      </c>
      <c r="J22" s="6">
        <f>IF(D22="","",IFERROR(G22/F22,0))</f>
        <v/>
      </c>
      <c r="K22" s="7">
        <f>IF(D22="","",IF(C22="Thu",IF(G22&gt;=F22,"Đạt kế hoạch thu",IF(J22&gt;=0.9,"Sát kế hoạch thu","Hụt kế hoạch thu")),IF(G22&gt;F22,"Vượt ngân sách",IF(J22&gt;=0.9,"Sát trần ngân sách","Trong ngân sách"))))</f>
        <v/>
      </c>
    </row>
    <row r="23">
      <c r="A23" s="2" t="n"/>
      <c r="B23" s="3" t="n"/>
      <c r="C23" s="3" t="n"/>
      <c r="D23" s="3" t="n"/>
      <c r="E23" s="3" t="n"/>
      <c r="F23" s="4" t="n"/>
      <c r="G23" s="4" t="n"/>
      <c r="H23" s="5">
        <f>IF(D23="","",G23-F23)</f>
        <v/>
      </c>
      <c r="I23" s="5">
        <f>IF(D23="","",F23-G23)</f>
        <v/>
      </c>
      <c r="J23" s="6">
        <f>IF(D23="","",IFERROR(G23/F23,0))</f>
        <v/>
      </c>
      <c r="K23" s="7">
        <f>IF(D23="","",IF(C23="Thu",IF(G23&gt;=F23,"Đạt kế hoạch thu",IF(J23&gt;=0.9,"Sát kế hoạch thu","Hụt kế hoạch thu")),IF(G23&gt;F23,"Vượt ngân sách",IF(J23&gt;=0.9,"Sát trần ngân sách","Trong ngân sách"))))</f>
        <v/>
      </c>
    </row>
    <row r="24">
      <c r="A24" s="2" t="n"/>
      <c r="B24" s="3" t="n"/>
      <c r="C24" s="3" t="n"/>
      <c r="D24" s="3" t="n"/>
      <c r="E24" s="3" t="n"/>
      <c r="F24" s="4" t="n"/>
      <c r="G24" s="4" t="n"/>
      <c r="H24" s="5">
        <f>IF(D24="","",G24-F24)</f>
        <v/>
      </c>
      <c r="I24" s="5">
        <f>IF(D24="","",F24-G24)</f>
        <v/>
      </c>
      <c r="J24" s="6">
        <f>IF(D24="","",IFERROR(G24/F24,0))</f>
        <v/>
      </c>
      <c r="K24" s="7">
        <f>IF(D24="","",IF(C24="Thu",IF(G24&gt;=F24,"Đạt kế hoạch thu",IF(J24&gt;=0.9,"Sát kế hoạch thu","Hụt kế hoạch thu")),IF(G24&gt;F24,"Vượt ngân sách",IF(J24&gt;=0.9,"Sát trần ngân sách","Trong ngân sách"))))</f>
        <v/>
      </c>
    </row>
    <row r="25">
      <c r="A25" s="2" t="n"/>
      <c r="B25" s="3" t="n"/>
      <c r="C25" s="3" t="n"/>
      <c r="D25" s="3" t="n"/>
      <c r="E25" s="3" t="n"/>
      <c r="F25" s="4" t="n"/>
      <c r="G25" s="4" t="n"/>
      <c r="H25" s="5">
        <f>IF(D25="","",G25-F25)</f>
        <v/>
      </c>
      <c r="I25" s="5">
        <f>IF(D25="","",F25-G25)</f>
        <v/>
      </c>
      <c r="J25" s="6">
        <f>IF(D25="","",IFERROR(G25/F25,0))</f>
        <v/>
      </c>
      <c r="K25" s="7">
        <f>IF(D25="","",IF(C25="Thu",IF(G25&gt;=F25,"Đạt kế hoạch thu",IF(J25&gt;=0.9,"Sát kế hoạch thu","Hụt kế hoạch thu")),IF(G25&gt;F25,"Vượt ngân sách",IF(J25&gt;=0.9,"Sát trần ngân sách","Trong ngân sách"))))</f>
        <v/>
      </c>
    </row>
    <row r="26">
      <c r="A26" s="2" t="n"/>
      <c r="B26" s="3" t="n"/>
      <c r="C26" s="3" t="n"/>
      <c r="D26" s="3" t="n"/>
      <c r="E26" s="3" t="n"/>
      <c r="F26" s="4" t="n"/>
      <c r="G26" s="4" t="n"/>
      <c r="H26" s="5">
        <f>IF(D26="","",G26-F26)</f>
        <v/>
      </c>
      <c r="I26" s="5">
        <f>IF(D26="","",F26-G26)</f>
        <v/>
      </c>
      <c r="J26" s="6">
        <f>IF(D26="","",IFERROR(G26/F26,0))</f>
        <v/>
      </c>
      <c r="K26" s="7">
        <f>IF(D26="","",IF(C26="Thu",IF(G26&gt;=F26,"Đạt kế hoạch thu",IF(J26&gt;=0.9,"Sát kế hoạch thu","Hụt kế hoạch thu")),IF(G26&gt;F26,"Vượt ngân sách",IF(J26&gt;=0.9,"Sát trần ngân sách","Trong ngân sách"))))</f>
        <v/>
      </c>
    </row>
    <row r="27">
      <c r="A27" s="2" t="n"/>
      <c r="B27" s="3" t="n"/>
      <c r="C27" s="3" t="n"/>
      <c r="D27" s="3" t="n"/>
      <c r="E27" s="3" t="n"/>
      <c r="F27" s="4" t="n"/>
      <c r="G27" s="4" t="n"/>
      <c r="H27" s="5">
        <f>IF(D27="","",G27-F27)</f>
        <v/>
      </c>
      <c r="I27" s="5">
        <f>IF(D27="","",F27-G27)</f>
        <v/>
      </c>
      <c r="J27" s="6">
        <f>IF(D27="","",IFERROR(G27/F27,0))</f>
        <v/>
      </c>
      <c r="K27" s="7">
        <f>IF(D27="","",IF(C27="Thu",IF(G27&gt;=F27,"Đạt kế hoạch thu",IF(J27&gt;=0.9,"Sát kế hoạch thu","Hụt kế hoạch thu")),IF(G27&gt;F27,"Vượt ngân sách",IF(J27&gt;=0.9,"Sát trần ngân sách","Trong ngân sách"))))</f>
        <v/>
      </c>
    </row>
    <row r="28">
      <c r="A28" s="2" t="n"/>
      <c r="B28" s="3" t="n"/>
      <c r="C28" s="3" t="n"/>
      <c r="D28" s="3" t="n"/>
      <c r="E28" s="3" t="n"/>
      <c r="F28" s="4" t="n"/>
      <c r="G28" s="4" t="n"/>
      <c r="H28" s="5">
        <f>IF(D28="","",G28-F28)</f>
        <v/>
      </c>
      <c r="I28" s="5">
        <f>IF(D28="","",F28-G28)</f>
        <v/>
      </c>
      <c r="J28" s="6">
        <f>IF(D28="","",IFERROR(G28/F28,0))</f>
        <v/>
      </c>
      <c r="K28" s="7">
        <f>IF(D28="","",IF(C28="Thu",IF(G28&gt;=F28,"Đạt kế hoạch thu",IF(J28&gt;=0.9,"Sát kế hoạch thu","Hụt kế hoạch thu")),IF(G28&gt;F28,"Vượt ngân sách",IF(J28&gt;=0.9,"Sát trần ngân sách","Trong ngân sách"))))</f>
        <v/>
      </c>
    </row>
    <row r="29">
      <c r="A29" s="2" t="n"/>
      <c r="B29" s="3" t="n"/>
      <c r="C29" s="3" t="n"/>
      <c r="D29" s="3" t="n"/>
      <c r="E29" s="3" t="n"/>
      <c r="F29" s="4" t="n"/>
      <c r="G29" s="4" t="n"/>
      <c r="H29" s="5">
        <f>IF(D29="","",G29-F29)</f>
        <v/>
      </c>
      <c r="I29" s="5">
        <f>IF(D29="","",F29-G29)</f>
        <v/>
      </c>
      <c r="J29" s="6">
        <f>IF(D29="","",IFERROR(G29/F29,0))</f>
        <v/>
      </c>
      <c r="K29" s="7">
        <f>IF(D29="","",IF(C29="Thu",IF(G29&gt;=F29,"Đạt kế hoạch thu",IF(J29&gt;=0.9,"Sát kế hoạch thu","Hụt kế hoạch thu")),IF(G29&gt;F29,"Vượt ngân sách",IF(J29&gt;=0.9,"Sát trần ngân sách","Trong ngân sách"))))</f>
        <v/>
      </c>
    </row>
    <row r="30">
      <c r="A30" s="2" t="n"/>
      <c r="B30" s="3" t="n"/>
      <c r="C30" s="3" t="n"/>
      <c r="D30" s="3" t="n"/>
      <c r="E30" s="3" t="n"/>
      <c r="F30" s="4" t="n"/>
      <c r="G30" s="4" t="n"/>
      <c r="H30" s="5">
        <f>IF(D30="","",G30-F30)</f>
        <v/>
      </c>
      <c r="I30" s="5">
        <f>IF(D30="","",F30-G30)</f>
        <v/>
      </c>
      <c r="J30" s="6">
        <f>IF(D30="","",IFERROR(G30/F30,0))</f>
        <v/>
      </c>
      <c r="K30" s="7">
        <f>IF(D30="","",IF(C30="Thu",IF(G30&gt;=F30,"Đạt kế hoạch thu",IF(J30&gt;=0.9,"Sát kế hoạch thu","Hụt kế hoạch thu")),IF(G30&gt;F30,"Vượt ngân sách",IF(J30&gt;=0.9,"Sát trần ngân sách","Trong ngân sách"))))</f>
        <v/>
      </c>
    </row>
    <row r="31">
      <c r="A31" s="2" t="n"/>
      <c r="B31" s="3" t="n"/>
      <c r="C31" s="3" t="n"/>
      <c r="D31" s="3" t="n"/>
      <c r="E31" s="3" t="n"/>
      <c r="F31" s="4" t="n"/>
      <c r="G31" s="4" t="n"/>
      <c r="H31" s="5">
        <f>IF(D31="","",G31-F31)</f>
        <v/>
      </c>
      <c r="I31" s="5">
        <f>IF(D31="","",F31-G31)</f>
        <v/>
      </c>
      <c r="J31" s="6">
        <f>IF(D31="","",IFERROR(G31/F31,0))</f>
        <v/>
      </c>
      <c r="K31" s="7">
        <f>IF(D31="","",IF(C31="Thu",IF(G31&gt;=F31,"Đạt kế hoạch thu",IF(J31&gt;=0.9,"Sát kế hoạch thu","Hụt kế hoạch thu")),IF(G31&gt;F31,"Vượt ngân sách",IF(J31&gt;=0.9,"Sát trần ngân sách","Trong ngân sách"))))</f>
        <v/>
      </c>
    </row>
    <row r="32">
      <c r="A32" s="2" t="n"/>
      <c r="B32" s="3" t="n"/>
      <c r="C32" s="3" t="n"/>
      <c r="D32" s="3" t="n"/>
      <c r="E32" s="3" t="n"/>
      <c r="F32" s="4" t="n"/>
      <c r="G32" s="4" t="n"/>
      <c r="H32" s="5">
        <f>IF(D32="","",G32-F32)</f>
        <v/>
      </c>
      <c r="I32" s="5">
        <f>IF(D32="","",F32-G32)</f>
        <v/>
      </c>
      <c r="J32" s="6">
        <f>IF(D32="","",IFERROR(G32/F32,0))</f>
        <v/>
      </c>
      <c r="K32" s="7">
        <f>IF(D32="","",IF(C32="Thu",IF(G32&gt;=F32,"Đạt kế hoạch thu",IF(J32&gt;=0.9,"Sát kế hoạch thu","Hụt kế hoạch thu")),IF(G32&gt;F32,"Vượt ngân sách",IF(J32&gt;=0.9,"Sát trần ngân sách","Trong ngân sách"))))</f>
        <v/>
      </c>
    </row>
    <row r="33">
      <c r="A33" s="2" t="n"/>
      <c r="B33" s="3" t="n"/>
      <c r="C33" s="3" t="n"/>
      <c r="D33" s="3" t="n"/>
      <c r="E33" s="3" t="n"/>
      <c r="F33" s="4" t="n"/>
      <c r="G33" s="4" t="n"/>
      <c r="H33" s="5">
        <f>IF(D33="","",G33-F33)</f>
        <v/>
      </c>
      <c r="I33" s="5">
        <f>IF(D33="","",F33-G33)</f>
        <v/>
      </c>
      <c r="J33" s="6">
        <f>IF(D33="","",IFERROR(G33/F33,0))</f>
        <v/>
      </c>
      <c r="K33" s="7">
        <f>IF(D33="","",IF(C33="Thu",IF(G33&gt;=F33,"Đạt kế hoạch thu",IF(J33&gt;=0.9,"Sát kế hoạch thu","Hụt kế hoạch thu")),IF(G33&gt;F33,"Vượt ngân sách",IF(J33&gt;=0.9,"Sát trần ngân sách","Trong ngân sách"))))</f>
        <v/>
      </c>
    </row>
    <row r="34">
      <c r="A34" s="2" t="n"/>
      <c r="B34" s="3" t="n"/>
      <c r="C34" s="3" t="n"/>
      <c r="D34" s="3" t="n"/>
      <c r="E34" s="3" t="n"/>
      <c r="F34" s="4" t="n"/>
      <c r="G34" s="4" t="n"/>
      <c r="H34" s="5">
        <f>IF(D34="","",G34-F34)</f>
        <v/>
      </c>
      <c r="I34" s="5">
        <f>IF(D34="","",F34-G34)</f>
        <v/>
      </c>
      <c r="J34" s="6">
        <f>IF(D34="","",IFERROR(G34/F34,0))</f>
        <v/>
      </c>
      <c r="K34" s="7">
        <f>IF(D34="","",IF(C34="Thu",IF(G34&gt;=F34,"Đạt kế hoạch thu",IF(J34&gt;=0.9,"Sát kế hoạch thu","Hụt kế hoạch thu")),IF(G34&gt;F34,"Vượt ngân sách",IF(J34&gt;=0.9,"Sát trần ngân sách","Trong ngân sách"))))</f>
        <v/>
      </c>
    </row>
    <row r="35">
      <c r="A35" s="2" t="n"/>
      <c r="B35" s="3" t="n"/>
      <c r="C35" s="3" t="n"/>
      <c r="D35" s="3" t="n"/>
      <c r="E35" s="3" t="n"/>
      <c r="F35" s="4" t="n"/>
      <c r="G35" s="4" t="n"/>
      <c r="H35" s="5">
        <f>IF(D35="","",G35-F35)</f>
        <v/>
      </c>
      <c r="I35" s="5">
        <f>IF(D35="","",F35-G35)</f>
        <v/>
      </c>
      <c r="J35" s="6">
        <f>IF(D35="","",IFERROR(G35/F35,0))</f>
        <v/>
      </c>
      <c r="K35" s="7">
        <f>IF(D35="","",IF(C35="Thu",IF(G35&gt;=F35,"Đạt kế hoạch thu",IF(J35&gt;=0.9,"Sát kế hoạch thu","Hụt kế hoạch thu")),IF(G35&gt;F35,"Vượt ngân sách",IF(J35&gt;=0.9,"Sát trần ngân sách","Trong ngân sách"))))</f>
        <v/>
      </c>
    </row>
    <row r="36">
      <c r="A36" s="2" t="n"/>
      <c r="B36" s="3" t="n"/>
      <c r="C36" s="3" t="n"/>
      <c r="D36" s="3" t="n"/>
      <c r="E36" s="3" t="n"/>
      <c r="F36" s="4" t="n"/>
      <c r="G36" s="4" t="n"/>
      <c r="H36" s="5">
        <f>IF(D36="","",G36-F36)</f>
        <v/>
      </c>
      <c r="I36" s="5">
        <f>IF(D36="","",F36-G36)</f>
        <v/>
      </c>
      <c r="J36" s="6">
        <f>IF(D36="","",IFERROR(G36/F36,0))</f>
        <v/>
      </c>
      <c r="K36" s="7">
        <f>IF(D36="","",IF(C36="Thu",IF(G36&gt;=F36,"Đạt kế hoạch thu",IF(J36&gt;=0.9,"Sát kế hoạch thu","Hụt kế hoạch thu")),IF(G36&gt;F36,"Vượt ngân sách",IF(J36&gt;=0.9,"Sát trần ngân sách","Trong ngân sách"))))</f>
        <v/>
      </c>
    </row>
    <row r="37">
      <c r="A37" s="2" t="n"/>
      <c r="B37" s="3" t="n"/>
      <c r="C37" s="3" t="n"/>
      <c r="D37" s="3" t="n"/>
      <c r="E37" s="3" t="n"/>
      <c r="F37" s="4" t="n"/>
      <c r="G37" s="4" t="n"/>
      <c r="H37" s="5">
        <f>IF(D37="","",G37-F37)</f>
        <v/>
      </c>
      <c r="I37" s="5">
        <f>IF(D37="","",F37-G37)</f>
        <v/>
      </c>
      <c r="J37" s="6">
        <f>IF(D37="","",IFERROR(G37/F37,0))</f>
        <v/>
      </c>
      <c r="K37" s="7">
        <f>IF(D37="","",IF(C37="Thu",IF(G37&gt;=F37,"Đạt kế hoạch thu",IF(J37&gt;=0.9,"Sát kế hoạch thu","Hụt kế hoạch thu")),IF(G37&gt;F37,"Vượt ngân sách",IF(J37&gt;=0.9,"Sát trần ngân sách","Trong ngân sách"))))</f>
        <v/>
      </c>
    </row>
    <row r="38">
      <c r="A38" s="2" t="n"/>
      <c r="B38" s="3" t="n"/>
      <c r="C38" s="3" t="n"/>
      <c r="D38" s="3" t="n"/>
      <c r="E38" s="3" t="n"/>
      <c r="F38" s="4" t="n"/>
      <c r="G38" s="4" t="n"/>
      <c r="H38" s="5">
        <f>IF(D38="","",G38-F38)</f>
        <v/>
      </c>
      <c r="I38" s="5">
        <f>IF(D38="","",F38-G38)</f>
        <v/>
      </c>
      <c r="J38" s="6">
        <f>IF(D38="","",IFERROR(G38/F38,0))</f>
        <v/>
      </c>
      <c r="K38" s="7">
        <f>IF(D38="","",IF(C38="Thu",IF(G38&gt;=F38,"Đạt kế hoạch thu",IF(J38&gt;=0.9,"Sát kế hoạch thu","Hụt kế hoạch thu")),IF(G38&gt;F38,"Vượt ngân sách",IF(J38&gt;=0.9,"Sát trần ngân sách","Trong ngân sách"))))</f>
        <v/>
      </c>
    </row>
    <row r="39">
      <c r="A39" s="2" t="n"/>
      <c r="B39" s="3" t="n"/>
      <c r="C39" s="3" t="n"/>
      <c r="D39" s="3" t="n"/>
      <c r="E39" s="3" t="n"/>
      <c r="F39" s="4" t="n"/>
      <c r="G39" s="4" t="n"/>
      <c r="H39" s="5">
        <f>IF(D39="","",G39-F39)</f>
        <v/>
      </c>
      <c r="I39" s="5">
        <f>IF(D39="","",F39-G39)</f>
        <v/>
      </c>
      <c r="J39" s="6">
        <f>IF(D39="","",IFERROR(G39/F39,0))</f>
        <v/>
      </c>
      <c r="K39" s="7">
        <f>IF(D39="","",IF(C39="Thu",IF(G39&gt;=F39,"Đạt kế hoạch thu",IF(J39&gt;=0.9,"Sát kế hoạch thu","Hụt kế hoạch thu")),IF(G39&gt;F39,"Vượt ngân sách",IF(J39&gt;=0.9,"Sát trần ngân sách","Trong ngân sách"))))</f>
        <v/>
      </c>
    </row>
  </sheetData>
  <autoFilter ref="A1:K39"/>
  <dataValidations count="4">
    <dataValidation sqref="C2:C39" showDropDown="0" showInputMessage="0" showErrorMessage="0" allowBlank="1" errorTitle="Sai định dạng" error="Giá trị không hợp lệ cho cột này." type="list">
      <formula1>"Thu,Chi"</formula1>
    </dataValidation>
    <dataValidation sqref="E2:E39" showDropDown="0" showInputMessage="0" showErrorMessage="0" allowBlank="1" errorTitle="Sai định dạng" error="Giá trị không hợp lệ cho cột này." type="list">
      <formula1>"Kinh doanh,Marketing,Kế toán,Hành chính nhân sự,Sản xuất,Kho vận,Kỹ thuật,Ban giám đốc"</formula1>
    </dataValidation>
    <dataValidation sqref="F2:F39" showDropDown="0" showInputMessage="0" showErrorMessage="0" allowBlank="1" errorTitle="Sai định dạng" error="Giá trị không hợp lệ cho cột này." type="decimal" operator="between">
      <formula1>0</formula1>
      <formula2>100000000000</formula2>
    </dataValidation>
    <dataValidation sqref="G2:G39" showDropDown="0" showInputMessage="0" showErrorMessage="0" allowBlank="1" errorTitle="Sai định dạng" error="Giá trị không hợp lệ cho cột này." type="decimal" operator="between">
      <formula1>0</formula1>
      <formula2>100000000000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8" t="inlineStr">
        <is>
          <t>Mẫu Excel dự toán ngân sách và theo dõi thực hiện</t>
        </is>
      </c>
    </row>
    <row r="2">
      <c r="B2" s="9" t="inlineStr"/>
    </row>
    <row r="3">
      <c r="B3" s="10" t="inlineStr">
        <is>
          <t>CÁCH DÙNG</t>
        </is>
      </c>
    </row>
    <row r="4">
      <c r="B4" s="11" t="inlineStr">
        <is>
          <t>1. Chốt danh sách khoản mục trước khi kỳ bắt đầu</t>
        </is>
      </c>
    </row>
    <row r="5">
      <c r="B5" s="9" t="inlineStr">
        <is>
          <t xml:space="preserve">   Mỗi khoản mục một dòng, gắn với đúng một bộ phận chịu trách nhiệm. Khoản mục không có ai chịu trách nhiệm là khoản mục không ai theo dõi. Đặt tên khoản mục giống hệt cách gọi trong sổ kế toán để sau này lấy số thực tế không phải dịch qua lại.</t>
        </is>
      </c>
    </row>
    <row r="6">
      <c r="B6" s="11" t="inlineStr">
        <is>
          <t>2. Chọn loại cho từng dòng</t>
        </is>
      </c>
    </row>
    <row r="7">
      <c r="B7" s="9" t="inlineStr">
        <is>
          <t xml:space="preserve">   Thu hay Chi. Cột này quyết định cách file đọc con số chênh lệch, nên chọn sai là đánh giá lộn ngược: một khoản doanh thu hụt kế hoạch sẽ được khen là trong ngân sách.</t>
        </is>
      </c>
    </row>
    <row r="8">
      <c r="B8" s="11" t="inlineStr">
        <is>
          <t>3. Nhập số dự toán của cả kỳ</t>
        </is>
      </c>
    </row>
    <row r="9">
      <c r="B9" s="9" t="inlineStr">
        <is>
          <t xml:space="preserve">   Dự toán nên chốt một lần trước khi kỳ bắt đầu và giữ nguyên. Sửa dự toán giữa kỳ cho khớp thực tế là cách nhanh nhất biến bảng ngân sách thành bảng ghi chép vô nghĩa — cần điều chỉnh thì thêm dòng mới và ghi rõ lý do.</t>
        </is>
      </c>
    </row>
    <row r="10">
      <c r="B10" s="11" t="inlineStr">
        <is>
          <t>4. Cập nhật cột thực tế theo định kỳ</t>
        </is>
      </c>
    </row>
    <row r="11">
      <c r="B11" s="9" t="inlineStr">
        <is>
          <t xml:space="preserve">   Lấy số phát sinh lũy kế từ đầu kỳ tới thời điểm rà soát, không phải số của riêng tháng gần nhất, vì cột này đang so với dự toán của cả kỳ. Cập nhật hằng tháng là đủ với hầu hết doanh nghiệp nhỏ.</t>
        </is>
      </c>
    </row>
    <row r="12">
      <c r="B12" s="11" t="inlineStr">
        <is>
          <t>5. Lọc theo cột đánh giá để họp</t>
        </is>
      </c>
    </row>
    <row r="13">
      <c r="B13" s="9" t="inlineStr">
        <is>
          <t xml:space="preserve">   Bật bộ lọc, chọn nhóm Vượt ngân sách và Hụt kế hoạch thu — đó là danh sách việc cần bàn. Nhóm Sát trần ngân sách là danh sách cần theo dõi tuần sau, còn lại thì không cần đưa vào cuộc họp.</t>
        </is>
      </c>
    </row>
    <row r="14">
      <c r="B14" s="9" t="inlineStr"/>
    </row>
    <row r="15">
      <c r="B15" s="10" t="inlineStr">
        <is>
          <t>CÔNG THỨC TRONG FILE</t>
        </is>
      </c>
    </row>
    <row r="16">
      <c r="B16" s="11" t="inlineStr">
        <is>
          <t>Chênh lệch  —  =IF(D2="","",G2-F2)</t>
        </is>
      </c>
    </row>
    <row r="17">
      <c r="B17" s="9" t="inlineStr">
        <is>
          <t xml:space="preserve">   Thực tế trừ dự toán. Cố ý để nguyên dấu thay vì lấy trị tuyệt đối: dấu dương ở dòng Thu là vượt kế hoạch, còn dấu dương ở dòng Chi là vượt ngân sách — cột đánh giá phía sau chính là chỗ dịch dấu đó thành lời.</t>
        </is>
      </c>
    </row>
    <row r="18">
      <c r="B18" s="11" t="inlineStr">
        <is>
          <t>Còn lại  —  =IF(D2="","",F2-G2)</t>
        </is>
      </c>
    </row>
    <row r="19">
      <c r="B19" s="9" t="inlineStr">
        <is>
          <t xml:space="preserve">   Với dòng Chi, đây là phần ngân sách còn được tiêu. Với dòng Thu, đây là phần doanh thu còn phải làm để đạt kế hoạch. Số âm ở dòng Chi là đã tiêu lẹm, ở dòng Thu là đã vượt mục tiêu.</t>
        </is>
      </c>
    </row>
    <row r="20">
      <c r="B20" s="11" t="inlineStr">
        <is>
          <t>Tỷ lệ thực hiện  —  =IF(D2="","",IFERROR(G2/F2,0))</t>
        </is>
      </c>
    </row>
    <row r="21">
      <c r="B21" s="9" t="inlineStr">
        <is>
          <t xml:space="preserve">   Thực tế chia dự toán. Bọc IFERROR cho khoản mục mới thêm chưa có dự toán, vì chia cho 0 sẽ ném #DIV/0! và làm cả cột đánh giá phía sau thành lỗi. Con số này phải đọc kèm phần thời gian đã trôi qua của kỳ mới có ý nghĩa.</t>
        </is>
      </c>
    </row>
    <row r="22">
      <c r="B22" s="11" t="inlineStr">
        <is>
          <t>Đánh giá  —  =IF(D2="","",IF(C2="Thu",IF(G2&gt;=F2,"Đạt kế hoạch thu",IF(J2&gt;=0.9,"Sát kế hoạch thu","Hụt kế hoạch thu")),IF(G2&gt;F2,"Vượt ngân sách",IF(J2&gt;=0.9,"Sát trần ngân sách","Trong ngân sách"))))</t>
        </is>
      </c>
    </row>
    <row r="23">
      <c r="B23" s="9" t="inlineStr">
        <is>
          <t xml:space="preserve">   Nhánh đầu tiên xét cột Loại, sau đó hai nhánh con dùng cùng một ngưỡng 90% nhưng kết luận ngược chiều nhau. Nhờ vậy một bộ lọc duy nhất trên cột này ra được đúng danh sách việc cần xử lý, không lẫn dòng thu vượt kế hoạch vào nhóm cảnh báo.</t>
        </is>
      </c>
    </row>
    <row r="24">
      <c r="B24" s="9" t="inlineStr"/>
    </row>
    <row r="25">
      <c r="B25" s="11" t="inlineStr">
        <is>
          <t>Bản cập nhật mới nhất và hướng dẫn chi tiết:</t>
        </is>
      </c>
    </row>
    <row r="26">
      <c r="B26" s="12" t="inlineStr">
        <is>
          <t>https://excel.nguyenvietloc.com/mau-excel/ke-toan/bang-du-toan-ngan-sach</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2026-08-14T13:55:46Z</dcterms:created>
  <dcterms:modified xsi:type="dcterms:W3CDTF">2026-08-14T13:55:46Z</dcterms:modified>
</cp:coreProperties>
</file>