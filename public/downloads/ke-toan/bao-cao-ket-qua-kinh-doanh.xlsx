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Kết quả kinh doanh" sheetId="1" state="visible" r:id="rId1"/>
    <sheet name="Hướng dẫn" sheetId="2" state="visible" r:id="rId2"/>
  </sheets>
  <definedNames>
    <definedName name="_xlnm._FilterDatabase" localSheetId="0" hidden="1">'Kết quả kinh doanh'!$A$1:$U$25</definedName>
  </definedNames>
  <calcPr calcId="124519" fullCalcOnLoad="1"/>
</workbook>
</file>

<file path=xl/styles.xml><?xml version="1.0" encoding="utf-8"?>
<styleSheet xmlns="http://schemas.openxmlformats.org/spreadsheetml/2006/main">
  <numFmts count="3">
    <numFmt numFmtId="164" formatCode="#,##0.##"/>
    <numFmt numFmtId="165" formatCode="#,##0 &quot;₫&quot;"/>
    <numFmt numFmtId="166" formatCode="0.0%"/>
  </numFmts>
  <fonts count="6">
    <font>
      <name val="Calibri"/>
      <family val="2"/>
      <color theme="1"/>
      <sz val="11"/>
      <scheme val="minor"/>
    </font>
    <font>
      <b val="1"/>
      <color rgb="00FFFFFF"/>
      <sz val="11"/>
    </font>
    <font>
      <b val="1"/>
      <sz val="14"/>
    </font>
    <font>
      <b val="1"/>
      <sz val="12"/>
    </font>
    <font>
      <b val="1"/>
    </font>
    <font>
      <color rgb="001D4ED8"/>
      <u val="single"/>
    </font>
  </fonts>
  <fills count="4">
    <fill>
      <patternFill/>
    </fill>
    <fill>
      <patternFill patternType="gray125"/>
    </fill>
    <fill>
      <patternFill patternType="solid">
        <fgColor rgb="001D4ED8"/>
      </patternFill>
    </fill>
    <fill>
      <patternFill patternType="solid">
        <fgColor rgb="00EFF6FF"/>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13">
    <xf numFmtId="0" fontId="0" fillId="0" borderId="0" pivotButton="0" quotePrefix="0" xfId="0"/>
    <xf numFmtId="0" fontId="1" fillId="2" borderId="1" applyAlignment="1" pivotButton="0" quotePrefix="0" xfId="0">
      <alignment horizontal="center" vertical="center" wrapText="1"/>
    </xf>
    <xf numFmtId="164" fontId="0" fillId="0" borderId="1" pivotButton="0" quotePrefix="0" xfId="0"/>
    <xf numFmtId="49" fontId="0" fillId="0" borderId="1" pivotButton="0" quotePrefix="0" xfId="0"/>
    <xf numFmtId="165" fontId="0" fillId="0" borderId="1" pivotButton="0" quotePrefix="0" xfId="0"/>
    <xf numFmtId="165" fontId="0" fillId="3" borderId="1" pivotButton="0" quotePrefix="0" xfId="0"/>
    <xf numFmtId="166" fontId="0" fillId="3" borderId="1" pivotButton="0" quotePrefix="0" xfId="0"/>
    <xf numFmtId="49" fontId="0" fillId="3" borderId="1" pivotButton="0" quotePrefix="0" xfId="0"/>
    <xf numFmtId="0" fontId="2" fillId="0" borderId="0" applyAlignment="1" pivotButton="0" quotePrefix="0" xfId="0">
      <alignment vertical="top" wrapText="1"/>
    </xf>
    <xf numFmtId="0" fontId="0"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excel.nguyenvietloc.com/mau-excel/ke-toan/bao-cao-ket-qua-kinh-doanh" TargetMode="External" Id="rId1" /></Relationships>
</file>

<file path=xl/worksheets/sheet1.xml><?xml version="1.0" encoding="utf-8"?>
<worksheet xmlns="http://schemas.openxmlformats.org/spreadsheetml/2006/main">
  <sheetPr>
    <outlinePr summaryBelow="1" summaryRight="1"/>
    <pageSetUpPr/>
  </sheetPr>
  <dimension ref="A1:U25"/>
  <sheetViews>
    <sheetView workbookViewId="0">
      <pane ySplit="1" topLeftCell="A2" activePane="bottomLeft" state="frozen"/>
      <selection pane="bottomLeft" activeCell="A1" sqref="A1"/>
    </sheetView>
  </sheetViews>
  <sheetFormatPr baseColWidth="8" defaultRowHeight="15"/>
  <cols>
    <col width="6" customWidth="1" min="1" max="1"/>
    <col width="16" customWidth="1" min="2" max="2"/>
    <col width="18" customWidth="1" min="3" max="3"/>
    <col width="17" customWidth="1" min="4" max="4"/>
    <col width="18" customWidth="1" min="5" max="5"/>
    <col width="17" customWidth="1" min="6" max="6"/>
    <col width="17" customWidth="1" min="7" max="7"/>
    <col width="17" customWidth="1" min="8" max="8"/>
    <col width="17" customWidth="1" min="9" max="9"/>
    <col width="15" customWidth="1" min="10" max="10"/>
    <col width="15" customWidth="1" min="11" max="11"/>
    <col width="13" customWidth="1" min="12" max="12"/>
    <col width="18" customWidth="1" min="13" max="13"/>
    <col width="18" customWidth="1" min="14" max="14"/>
    <col width="12" customWidth="1" min="15" max="15"/>
    <col width="20" customWidth="1" min="16" max="16"/>
    <col width="19" customWidth="1" min="17" max="17"/>
    <col width="16" customWidth="1" min="18" max="18"/>
    <col width="19" customWidth="1" min="19" max="19"/>
    <col width="13" customWidth="1" min="20" max="20"/>
    <col width="34" customWidth="1" min="21" max="21"/>
  </cols>
  <sheetData>
    <row r="1" ht="32" customHeight="1">
      <c r="A1" s="1" t="inlineStr">
        <is>
          <t>STT</t>
        </is>
      </c>
      <c r="B1" s="1" t="inlineStr">
        <is>
          <t>Kỳ</t>
        </is>
      </c>
      <c r="C1" s="1" t="inlineStr">
        <is>
          <t>Doanh thu bán hàng</t>
        </is>
      </c>
      <c r="D1" s="1" t="inlineStr">
        <is>
          <t>Giảm trừ doanh thu</t>
        </is>
      </c>
      <c r="E1" s="1" t="inlineStr">
        <is>
          <t>Giá vốn hàng bán</t>
        </is>
      </c>
      <c r="F1" s="1" t="inlineStr">
        <is>
          <t>Doanh thu tài chính</t>
        </is>
      </c>
      <c r="G1" s="1" t="inlineStr">
        <is>
          <t>Chi phí tài chính</t>
        </is>
      </c>
      <c r="H1" s="1" t="inlineStr">
        <is>
          <t>Chi phí bán hàng</t>
        </is>
      </c>
      <c r="I1" s="1" t="inlineStr">
        <is>
          <t>Chi phí quản lý</t>
        </is>
      </c>
      <c r="J1" s="1" t="inlineStr">
        <is>
          <t>Thu nhập khác</t>
        </is>
      </c>
      <c r="K1" s="1" t="inlineStr">
        <is>
          <t>Chi phí khác</t>
        </is>
      </c>
      <c r="L1" s="1" t="inlineStr">
        <is>
          <t>Thuế suất TNDN (%)</t>
        </is>
      </c>
      <c r="M1" s="1" t="inlineStr">
        <is>
          <t>Doanh thu thuần</t>
        </is>
      </c>
      <c r="N1" s="1" t="inlineStr">
        <is>
          <t>Lợi nhuận gộp</t>
        </is>
      </c>
      <c r="O1" s="1" t="inlineStr">
        <is>
          <t>Biên lãi gộp</t>
        </is>
      </c>
      <c r="P1" s="1" t="inlineStr">
        <is>
          <t>Lợi nhuận thuần HĐKD</t>
        </is>
      </c>
      <c r="Q1" s="1" t="inlineStr">
        <is>
          <t>Lợi nhuận trước thuế</t>
        </is>
      </c>
      <c r="R1" s="1" t="inlineStr">
        <is>
          <t>Thuế TNDN</t>
        </is>
      </c>
      <c r="S1" s="1" t="inlineStr">
        <is>
          <t>Lợi nhuận sau thuế</t>
        </is>
      </c>
      <c r="T1" s="1" t="inlineStr">
        <is>
          <t>Biên lợi nhuận ròng</t>
        </is>
      </c>
      <c r="U1" s="1" t="inlineStr">
        <is>
          <t>Cảnh báo</t>
        </is>
      </c>
    </row>
    <row r="2">
      <c r="A2" s="2" t="n">
        <v>1</v>
      </c>
      <c r="B2" s="3" t="inlineStr">
        <is>
          <t>Tháng 01/2026</t>
        </is>
      </c>
      <c r="C2" s="4" t="n">
        <v>420000000</v>
      </c>
      <c r="D2" s="4" t="n">
        <v>5000000</v>
      </c>
      <c r="E2" s="4" t="n">
        <v>268000000</v>
      </c>
      <c r="F2" s="4" t="n">
        <v>1200000</v>
      </c>
      <c r="G2" s="4" t="n">
        <v>6500000</v>
      </c>
      <c r="H2" s="4" t="n">
        <v>42000000</v>
      </c>
      <c r="I2" s="4" t="n">
        <v>58000000</v>
      </c>
      <c r="J2" s="4" t="n">
        <v>0</v>
      </c>
      <c r="K2" s="4" t="n">
        <v>0</v>
      </c>
      <c r="L2" s="2" t="n">
        <v>20</v>
      </c>
      <c r="M2" s="5">
        <f>IF(B2="","",C2-D2)</f>
        <v/>
      </c>
      <c r="N2" s="5">
        <f>IF(B2="","",M2-E2)</f>
        <v/>
      </c>
      <c r="O2" s="6">
        <f>IF(B2="","",IFERROR(N2/M2,0))</f>
        <v/>
      </c>
      <c r="P2" s="5">
        <f>IF(B2="","",N2+F2-G2-H2-I2)</f>
        <v/>
      </c>
      <c r="Q2" s="5">
        <f>IF(B2="","",P2+J2-K2)</f>
        <v/>
      </c>
      <c r="R2" s="5">
        <f>IF(B2="","",ROUND(MAX(0,Q2)*L2/100,0))</f>
        <v/>
      </c>
      <c r="S2" s="5">
        <f>IF(B2="","",Q2-R2)</f>
        <v/>
      </c>
      <c r="T2" s="6">
        <f>IF(B2="","",IFERROR(S2/M2,0))</f>
        <v/>
      </c>
      <c r="U2" s="7">
        <f>IF(B2="","",IF(Q2&lt;0,"Lỗ trong kỳ",IF(O2&lt;0.2,"Lãi gộp mỏng - xem lại giá vốn",IF(T2&lt;0.05,"Chi phí vận hành ăn gần hết lãi gộp","Bình thường"))))</f>
        <v/>
      </c>
    </row>
    <row r="3">
      <c r="A3" s="2" t="n">
        <v>2</v>
      </c>
      <c r="B3" s="3" t="inlineStr">
        <is>
          <t>Tháng 02/2026</t>
        </is>
      </c>
      <c r="C3" s="4" t="n">
        <v>260000000</v>
      </c>
      <c r="D3" s="4" t="n">
        <v>3000000</v>
      </c>
      <c r="E3" s="4" t="n">
        <v>172000000</v>
      </c>
      <c r="F3" s="4" t="n">
        <v>900000</v>
      </c>
      <c r="G3" s="4" t="n">
        <v>6500000</v>
      </c>
      <c r="H3" s="4" t="n">
        <v>38000000</v>
      </c>
      <c r="I3" s="4" t="n">
        <v>72000000</v>
      </c>
      <c r="J3" s="4" t="n">
        <v>0</v>
      </c>
      <c r="K3" s="4" t="n">
        <v>4000000</v>
      </c>
      <c r="L3" s="2" t="n">
        <v>20</v>
      </c>
      <c r="M3" s="5">
        <f>IF(B3="","",C3-D3)</f>
        <v/>
      </c>
      <c r="N3" s="5">
        <f>IF(B3="","",M3-E3)</f>
        <v/>
      </c>
      <c r="O3" s="6">
        <f>IF(B3="","",IFERROR(N3/M3,0))</f>
        <v/>
      </c>
      <c r="P3" s="5">
        <f>IF(B3="","",N3+F3-G3-H3-I3)</f>
        <v/>
      </c>
      <c r="Q3" s="5">
        <f>IF(B3="","",P3+J3-K3)</f>
        <v/>
      </c>
      <c r="R3" s="5">
        <f>IF(B3="","",ROUND(MAX(0,Q3)*L3/100,0))</f>
        <v/>
      </c>
      <c r="S3" s="5">
        <f>IF(B3="","",Q3-R3)</f>
        <v/>
      </c>
      <c r="T3" s="6">
        <f>IF(B3="","",IFERROR(S3/M3,0))</f>
        <v/>
      </c>
      <c r="U3" s="7">
        <f>IF(B3="","",IF(Q3&lt;0,"Lỗ trong kỳ",IF(O3&lt;0.2,"Lãi gộp mỏng - xem lại giá vốn",IF(T3&lt;0.05,"Chi phí vận hành ăn gần hết lãi gộp","Bình thường"))))</f>
        <v/>
      </c>
    </row>
    <row r="4">
      <c r="A4" s="2" t="n">
        <v>3</v>
      </c>
      <c r="B4" s="3" t="inlineStr">
        <is>
          <t>Tháng 03/2026</t>
        </is>
      </c>
      <c r="C4" s="4" t="n">
        <v>455000000</v>
      </c>
      <c r="D4" s="4" t="n">
        <v>6000000</v>
      </c>
      <c r="E4" s="4" t="n">
        <v>290000000</v>
      </c>
      <c r="F4" s="4" t="n">
        <v>1000000</v>
      </c>
      <c r="G4" s="4" t="n">
        <v>6200000</v>
      </c>
      <c r="H4" s="4" t="n">
        <v>44000000</v>
      </c>
      <c r="I4" s="4" t="n">
        <v>59000000</v>
      </c>
      <c r="J4" s="4" t="n">
        <v>12000000</v>
      </c>
      <c r="K4" s="4" t="n">
        <v>0</v>
      </c>
      <c r="L4" s="2" t="n">
        <v>20</v>
      </c>
      <c r="M4" s="5">
        <f>IF(B4="","",C4-D4)</f>
        <v/>
      </c>
      <c r="N4" s="5">
        <f>IF(B4="","",M4-E4)</f>
        <v/>
      </c>
      <c r="O4" s="6">
        <f>IF(B4="","",IFERROR(N4/M4,0))</f>
        <v/>
      </c>
      <c r="P4" s="5">
        <f>IF(B4="","",N4+F4-G4-H4-I4)</f>
        <v/>
      </c>
      <c r="Q4" s="5">
        <f>IF(B4="","",P4+J4-K4)</f>
        <v/>
      </c>
      <c r="R4" s="5">
        <f>IF(B4="","",ROUND(MAX(0,Q4)*L4/100,0))</f>
        <v/>
      </c>
      <c r="S4" s="5">
        <f>IF(B4="","",Q4-R4)</f>
        <v/>
      </c>
      <c r="T4" s="6">
        <f>IF(B4="","",IFERROR(S4/M4,0))</f>
        <v/>
      </c>
      <c r="U4" s="7">
        <f>IF(B4="","",IF(Q4&lt;0,"Lỗ trong kỳ",IF(O4&lt;0.2,"Lãi gộp mỏng - xem lại giá vốn",IF(T4&lt;0.05,"Chi phí vận hành ăn gần hết lãi gộp","Bình thường"))))</f>
        <v/>
      </c>
    </row>
    <row r="5">
      <c r="A5" s="2" t="n">
        <v>4</v>
      </c>
      <c r="B5" s="3" t="inlineStr">
        <is>
          <t>Tháng 04/2026</t>
        </is>
      </c>
      <c r="C5" s="4" t="n">
        <v>390000000</v>
      </c>
      <c r="D5" s="4" t="n">
        <v>4000000</v>
      </c>
      <c r="E5" s="4" t="n">
        <v>258000000</v>
      </c>
      <c r="F5" s="4" t="n">
        <v>800000</v>
      </c>
      <c r="G5" s="4" t="n">
        <v>6000000</v>
      </c>
      <c r="H5" s="4" t="n">
        <v>40000000</v>
      </c>
      <c r="I5" s="4" t="n">
        <v>60000000</v>
      </c>
      <c r="J5" s="4" t="n">
        <v>0</v>
      </c>
      <c r="K5" s="4" t="n">
        <v>2500000</v>
      </c>
      <c r="L5" s="2" t="n">
        <v>20</v>
      </c>
      <c r="M5" s="5">
        <f>IF(B5="","",C5-D5)</f>
        <v/>
      </c>
      <c r="N5" s="5">
        <f>IF(B5="","",M5-E5)</f>
        <v/>
      </c>
      <c r="O5" s="6">
        <f>IF(B5="","",IFERROR(N5/M5,0))</f>
        <v/>
      </c>
      <c r="P5" s="5">
        <f>IF(B5="","",N5+F5-G5-H5-I5)</f>
        <v/>
      </c>
      <c r="Q5" s="5">
        <f>IF(B5="","",P5+J5-K5)</f>
        <v/>
      </c>
      <c r="R5" s="5">
        <f>IF(B5="","",ROUND(MAX(0,Q5)*L5/100,0))</f>
        <v/>
      </c>
      <c r="S5" s="5">
        <f>IF(B5="","",Q5-R5)</f>
        <v/>
      </c>
      <c r="T5" s="6">
        <f>IF(B5="","",IFERROR(S5/M5,0))</f>
        <v/>
      </c>
      <c r="U5" s="7">
        <f>IF(B5="","",IF(Q5&lt;0,"Lỗ trong kỳ",IF(O5&lt;0.2,"Lãi gộp mỏng - xem lại giá vốn",IF(T5&lt;0.05,"Chi phí vận hành ăn gần hết lãi gộp","Bình thường"))))</f>
        <v/>
      </c>
    </row>
    <row r="6">
      <c r="A6" s="2" t="n">
        <v>5</v>
      </c>
      <c r="B6" s="3" t="inlineStr">
        <is>
          <t>Tháng 05/2026</t>
        </is>
      </c>
      <c r="C6" s="4" t="n">
        <v>510000000</v>
      </c>
      <c r="D6" s="4" t="n">
        <v>7000000</v>
      </c>
      <c r="E6" s="4" t="n">
        <v>320000000</v>
      </c>
      <c r="F6" s="4" t="n">
        <v>1500000</v>
      </c>
      <c r="G6" s="4" t="n">
        <v>5800000</v>
      </c>
      <c r="H6" s="4" t="n">
        <v>47000000</v>
      </c>
      <c r="I6" s="4" t="n">
        <v>61000000</v>
      </c>
      <c r="J6" s="4" t="n">
        <v>0</v>
      </c>
      <c r="K6" s="4" t="n">
        <v>0</v>
      </c>
      <c r="L6" s="2" t="n">
        <v>20</v>
      </c>
      <c r="M6" s="5">
        <f>IF(B6="","",C6-D6)</f>
        <v/>
      </c>
      <c r="N6" s="5">
        <f>IF(B6="","",M6-E6)</f>
        <v/>
      </c>
      <c r="O6" s="6">
        <f>IF(B6="","",IFERROR(N6/M6,0))</f>
        <v/>
      </c>
      <c r="P6" s="5">
        <f>IF(B6="","",N6+F6-G6-H6-I6)</f>
        <v/>
      </c>
      <c r="Q6" s="5">
        <f>IF(B6="","",P6+J6-K6)</f>
        <v/>
      </c>
      <c r="R6" s="5">
        <f>IF(B6="","",ROUND(MAX(0,Q6)*L6/100,0))</f>
        <v/>
      </c>
      <c r="S6" s="5">
        <f>IF(B6="","",Q6-R6)</f>
        <v/>
      </c>
      <c r="T6" s="6">
        <f>IF(B6="","",IFERROR(S6/M6,0))</f>
        <v/>
      </c>
      <c r="U6" s="7">
        <f>IF(B6="","",IF(Q6&lt;0,"Lỗ trong kỳ",IF(O6&lt;0.2,"Lãi gộp mỏng - xem lại giá vốn",IF(T6&lt;0.05,"Chi phí vận hành ăn gần hết lãi gộp","Bình thường"))))</f>
        <v/>
      </c>
    </row>
    <row r="7">
      <c r="A7" s="2" t="n">
        <v>6</v>
      </c>
      <c r="B7" s="3" t="inlineStr">
        <is>
          <t>Tháng 06/2026</t>
        </is>
      </c>
      <c r="C7" s="4" t="n">
        <v>480000000</v>
      </c>
      <c r="D7" s="4" t="n">
        <v>5000000</v>
      </c>
      <c r="E7" s="4" t="n">
        <v>305000000</v>
      </c>
      <c r="F7" s="4" t="n">
        <v>1100000</v>
      </c>
      <c r="G7" s="4" t="n">
        <v>5500000</v>
      </c>
      <c r="H7" s="4" t="n">
        <v>45000000</v>
      </c>
      <c r="I7" s="4" t="n">
        <v>62000000</v>
      </c>
      <c r="J7" s="4" t="n">
        <v>0</v>
      </c>
      <c r="K7" s="4" t="n">
        <v>1800000</v>
      </c>
      <c r="L7" s="2" t="n">
        <v>20</v>
      </c>
      <c r="M7" s="5">
        <f>IF(B7="","",C7-D7)</f>
        <v/>
      </c>
      <c r="N7" s="5">
        <f>IF(B7="","",M7-E7)</f>
        <v/>
      </c>
      <c r="O7" s="6">
        <f>IF(B7="","",IFERROR(N7/M7,0))</f>
        <v/>
      </c>
      <c r="P7" s="5">
        <f>IF(B7="","",N7+F7-G7-H7-I7)</f>
        <v/>
      </c>
      <c r="Q7" s="5">
        <f>IF(B7="","",P7+J7-K7)</f>
        <v/>
      </c>
      <c r="R7" s="5">
        <f>IF(B7="","",ROUND(MAX(0,Q7)*L7/100,0))</f>
        <v/>
      </c>
      <c r="S7" s="5">
        <f>IF(B7="","",Q7-R7)</f>
        <v/>
      </c>
      <c r="T7" s="6">
        <f>IF(B7="","",IFERROR(S7/M7,0))</f>
        <v/>
      </c>
      <c r="U7" s="7">
        <f>IF(B7="","",IF(Q7&lt;0,"Lỗ trong kỳ",IF(O7&lt;0.2,"Lãi gộp mỏng - xem lại giá vốn",IF(T7&lt;0.05,"Chi phí vận hành ăn gần hết lãi gộp","Bình thường"))))</f>
        <v/>
      </c>
    </row>
    <row r="8">
      <c r="A8" s="2" t="n"/>
      <c r="B8" s="3" t="n"/>
      <c r="C8" s="4" t="n"/>
      <c r="D8" s="4" t="n"/>
      <c r="E8" s="4" t="n"/>
      <c r="F8" s="4" t="n"/>
      <c r="G8" s="4" t="n"/>
      <c r="H8" s="4" t="n"/>
      <c r="I8" s="4" t="n"/>
      <c r="J8" s="4" t="n"/>
      <c r="K8" s="4" t="n"/>
      <c r="L8" s="2" t="n"/>
      <c r="M8" s="5">
        <f>IF(B8="","",C8-D8)</f>
        <v/>
      </c>
      <c r="N8" s="5">
        <f>IF(B8="","",M8-E8)</f>
        <v/>
      </c>
      <c r="O8" s="6">
        <f>IF(B8="","",IFERROR(N8/M8,0))</f>
        <v/>
      </c>
      <c r="P8" s="5">
        <f>IF(B8="","",N8+F8-G8-H8-I8)</f>
        <v/>
      </c>
      <c r="Q8" s="5">
        <f>IF(B8="","",P8+J8-K8)</f>
        <v/>
      </c>
      <c r="R8" s="5">
        <f>IF(B8="","",ROUND(MAX(0,Q8)*L8/100,0))</f>
        <v/>
      </c>
      <c r="S8" s="5">
        <f>IF(B8="","",Q8-R8)</f>
        <v/>
      </c>
      <c r="T8" s="6">
        <f>IF(B8="","",IFERROR(S8/M8,0))</f>
        <v/>
      </c>
      <c r="U8" s="7">
        <f>IF(B8="","",IF(Q8&lt;0,"Lỗ trong kỳ",IF(O8&lt;0.2,"Lãi gộp mỏng - xem lại giá vốn",IF(T8&lt;0.05,"Chi phí vận hành ăn gần hết lãi gộp","Bình thường"))))</f>
        <v/>
      </c>
    </row>
    <row r="9">
      <c r="A9" s="2" t="n"/>
      <c r="B9" s="3" t="n"/>
      <c r="C9" s="4" t="n"/>
      <c r="D9" s="4" t="n"/>
      <c r="E9" s="4" t="n"/>
      <c r="F9" s="4" t="n"/>
      <c r="G9" s="4" t="n"/>
      <c r="H9" s="4" t="n"/>
      <c r="I9" s="4" t="n"/>
      <c r="J9" s="4" t="n"/>
      <c r="K9" s="4" t="n"/>
      <c r="L9" s="2" t="n"/>
      <c r="M9" s="5">
        <f>IF(B9="","",C9-D9)</f>
        <v/>
      </c>
      <c r="N9" s="5">
        <f>IF(B9="","",M9-E9)</f>
        <v/>
      </c>
      <c r="O9" s="6">
        <f>IF(B9="","",IFERROR(N9/M9,0))</f>
        <v/>
      </c>
      <c r="P9" s="5">
        <f>IF(B9="","",N9+F9-G9-H9-I9)</f>
        <v/>
      </c>
      <c r="Q9" s="5">
        <f>IF(B9="","",P9+J9-K9)</f>
        <v/>
      </c>
      <c r="R9" s="5">
        <f>IF(B9="","",ROUND(MAX(0,Q9)*L9/100,0))</f>
        <v/>
      </c>
      <c r="S9" s="5">
        <f>IF(B9="","",Q9-R9)</f>
        <v/>
      </c>
      <c r="T9" s="6">
        <f>IF(B9="","",IFERROR(S9/M9,0))</f>
        <v/>
      </c>
      <c r="U9" s="7">
        <f>IF(B9="","",IF(Q9&lt;0,"Lỗ trong kỳ",IF(O9&lt;0.2,"Lãi gộp mỏng - xem lại giá vốn",IF(T9&lt;0.05,"Chi phí vận hành ăn gần hết lãi gộp","Bình thường"))))</f>
        <v/>
      </c>
    </row>
    <row r="10">
      <c r="A10" s="2" t="n"/>
      <c r="B10" s="3" t="n"/>
      <c r="C10" s="4" t="n"/>
      <c r="D10" s="4" t="n"/>
      <c r="E10" s="4" t="n"/>
      <c r="F10" s="4" t="n"/>
      <c r="G10" s="4" t="n"/>
      <c r="H10" s="4" t="n"/>
      <c r="I10" s="4" t="n"/>
      <c r="J10" s="4" t="n"/>
      <c r="K10" s="4" t="n"/>
      <c r="L10" s="2" t="n"/>
      <c r="M10" s="5">
        <f>IF(B10="","",C10-D10)</f>
        <v/>
      </c>
      <c r="N10" s="5">
        <f>IF(B10="","",M10-E10)</f>
        <v/>
      </c>
      <c r="O10" s="6">
        <f>IF(B10="","",IFERROR(N10/M10,0))</f>
        <v/>
      </c>
      <c r="P10" s="5">
        <f>IF(B10="","",N10+F10-G10-H10-I10)</f>
        <v/>
      </c>
      <c r="Q10" s="5">
        <f>IF(B10="","",P10+J10-K10)</f>
        <v/>
      </c>
      <c r="R10" s="5">
        <f>IF(B10="","",ROUND(MAX(0,Q10)*L10/100,0))</f>
        <v/>
      </c>
      <c r="S10" s="5">
        <f>IF(B10="","",Q10-R10)</f>
        <v/>
      </c>
      <c r="T10" s="6">
        <f>IF(B10="","",IFERROR(S10/M10,0))</f>
        <v/>
      </c>
      <c r="U10" s="7">
        <f>IF(B10="","",IF(Q10&lt;0,"Lỗ trong kỳ",IF(O10&lt;0.2,"Lãi gộp mỏng - xem lại giá vốn",IF(T10&lt;0.05,"Chi phí vận hành ăn gần hết lãi gộp","Bình thường"))))</f>
        <v/>
      </c>
    </row>
    <row r="11">
      <c r="A11" s="2" t="n"/>
      <c r="B11" s="3" t="n"/>
      <c r="C11" s="4" t="n"/>
      <c r="D11" s="4" t="n"/>
      <c r="E11" s="4" t="n"/>
      <c r="F11" s="4" t="n"/>
      <c r="G11" s="4" t="n"/>
      <c r="H11" s="4" t="n"/>
      <c r="I11" s="4" t="n"/>
      <c r="J11" s="4" t="n"/>
      <c r="K11" s="4" t="n"/>
      <c r="L11" s="2" t="n"/>
      <c r="M11" s="5">
        <f>IF(B11="","",C11-D11)</f>
        <v/>
      </c>
      <c r="N11" s="5">
        <f>IF(B11="","",M11-E11)</f>
        <v/>
      </c>
      <c r="O11" s="6">
        <f>IF(B11="","",IFERROR(N11/M11,0))</f>
        <v/>
      </c>
      <c r="P11" s="5">
        <f>IF(B11="","",N11+F11-G11-H11-I11)</f>
        <v/>
      </c>
      <c r="Q11" s="5">
        <f>IF(B11="","",P11+J11-K11)</f>
        <v/>
      </c>
      <c r="R11" s="5">
        <f>IF(B11="","",ROUND(MAX(0,Q11)*L11/100,0))</f>
        <v/>
      </c>
      <c r="S11" s="5">
        <f>IF(B11="","",Q11-R11)</f>
        <v/>
      </c>
      <c r="T11" s="6">
        <f>IF(B11="","",IFERROR(S11/M11,0))</f>
        <v/>
      </c>
      <c r="U11" s="7">
        <f>IF(B11="","",IF(Q11&lt;0,"Lỗ trong kỳ",IF(O11&lt;0.2,"Lãi gộp mỏng - xem lại giá vốn",IF(T11&lt;0.05,"Chi phí vận hành ăn gần hết lãi gộp","Bình thường"))))</f>
        <v/>
      </c>
    </row>
    <row r="12">
      <c r="A12" s="2" t="n"/>
      <c r="B12" s="3" t="n"/>
      <c r="C12" s="4" t="n"/>
      <c r="D12" s="4" t="n"/>
      <c r="E12" s="4" t="n"/>
      <c r="F12" s="4" t="n"/>
      <c r="G12" s="4" t="n"/>
      <c r="H12" s="4" t="n"/>
      <c r="I12" s="4" t="n"/>
      <c r="J12" s="4" t="n"/>
      <c r="K12" s="4" t="n"/>
      <c r="L12" s="2" t="n"/>
      <c r="M12" s="5">
        <f>IF(B12="","",C12-D12)</f>
        <v/>
      </c>
      <c r="N12" s="5">
        <f>IF(B12="","",M12-E12)</f>
        <v/>
      </c>
      <c r="O12" s="6">
        <f>IF(B12="","",IFERROR(N12/M12,0))</f>
        <v/>
      </c>
      <c r="P12" s="5">
        <f>IF(B12="","",N12+F12-G12-H12-I12)</f>
        <v/>
      </c>
      <c r="Q12" s="5">
        <f>IF(B12="","",P12+J12-K12)</f>
        <v/>
      </c>
      <c r="R12" s="5">
        <f>IF(B12="","",ROUND(MAX(0,Q12)*L12/100,0))</f>
        <v/>
      </c>
      <c r="S12" s="5">
        <f>IF(B12="","",Q12-R12)</f>
        <v/>
      </c>
      <c r="T12" s="6">
        <f>IF(B12="","",IFERROR(S12/M12,0))</f>
        <v/>
      </c>
      <c r="U12" s="7">
        <f>IF(B12="","",IF(Q12&lt;0,"Lỗ trong kỳ",IF(O12&lt;0.2,"Lãi gộp mỏng - xem lại giá vốn",IF(T12&lt;0.05,"Chi phí vận hành ăn gần hết lãi gộp","Bình thường"))))</f>
        <v/>
      </c>
    </row>
    <row r="13">
      <c r="A13" s="2" t="n"/>
      <c r="B13" s="3" t="n"/>
      <c r="C13" s="4" t="n"/>
      <c r="D13" s="4" t="n"/>
      <c r="E13" s="4" t="n"/>
      <c r="F13" s="4" t="n"/>
      <c r="G13" s="4" t="n"/>
      <c r="H13" s="4" t="n"/>
      <c r="I13" s="4" t="n"/>
      <c r="J13" s="4" t="n"/>
      <c r="K13" s="4" t="n"/>
      <c r="L13" s="2" t="n"/>
      <c r="M13" s="5">
        <f>IF(B13="","",C13-D13)</f>
        <v/>
      </c>
      <c r="N13" s="5">
        <f>IF(B13="","",M13-E13)</f>
        <v/>
      </c>
      <c r="O13" s="6">
        <f>IF(B13="","",IFERROR(N13/M13,0))</f>
        <v/>
      </c>
      <c r="P13" s="5">
        <f>IF(B13="","",N13+F13-G13-H13-I13)</f>
        <v/>
      </c>
      <c r="Q13" s="5">
        <f>IF(B13="","",P13+J13-K13)</f>
        <v/>
      </c>
      <c r="R13" s="5">
        <f>IF(B13="","",ROUND(MAX(0,Q13)*L13/100,0))</f>
        <v/>
      </c>
      <c r="S13" s="5">
        <f>IF(B13="","",Q13-R13)</f>
        <v/>
      </c>
      <c r="T13" s="6">
        <f>IF(B13="","",IFERROR(S13/M13,0))</f>
        <v/>
      </c>
      <c r="U13" s="7">
        <f>IF(B13="","",IF(Q13&lt;0,"Lỗ trong kỳ",IF(O13&lt;0.2,"Lãi gộp mỏng - xem lại giá vốn",IF(T13&lt;0.05,"Chi phí vận hành ăn gần hết lãi gộp","Bình thường"))))</f>
        <v/>
      </c>
    </row>
    <row r="14">
      <c r="A14" s="2" t="n"/>
      <c r="B14" s="3" t="n"/>
      <c r="C14" s="4" t="n"/>
      <c r="D14" s="4" t="n"/>
      <c r="E14" s="4" t="n"/>
      <c r="F14" s="4" t="n"/>
      <c r="G14" s="4" t="n"/>
      <c r="H14" s="4" t="n"/>
      <c r="I14" s="4" t="n"/>
      <c r="J14" s="4" t="n"/>
      <c r="K14" s="4" t="n"/>
      <c r="L14" s="2" t="n"/>
      <c r="M14" s="5">
        <f>IF(B14="","",C14-D14)</f>
        <v/>
      </c>
      <c r="N14" s="5">
        <f>IF(B14="","",M14-E14)</f>
        <v/>
      </c>
      <c r="O14" s="6">
        <f>IF(B14="","",IFERROR(N14/M14,0))</f>
        <v/>
      </c>
      <c r="P14" s="5">
        <f>IF(B14="","",N14+F14-G14-H14-I14)</f>
        <v/>
      </c>
      <c r="Q14" s="5">
        <f>IF(B14="","",P14+J14-K14)</f>
        <v/>
      </c>
      <c r="R14" s="5">
        <f>IF(B14="","",ROUND(MAX(0,Q14)*L14/100,0))</f>
        <v/>
      </c>
      <c r="S14" s="5">
        <f>IF(B14="","",Q14-R14)</f>
        <v/>
      </c>
      <c r="T14" s="6">
        <f>IF(B14="","",IFERROR(S14/M14,0))</f>
        <v/>
      </c>
      <c r="U14" s="7">
        <f>IF(B14="","",IF(Q14&lt;0,"Lỗ trong kỳ",IF(O14&lt;0.2,"Lãi gộp mỏng - xem lại giá vốn",IF(T14&lt;0.05,"Chi phí vận hành ăn gần hết lãi gộp","Bình thường"))))</f>
        <v/>
      </c>
    </row>
    <row r="15">
      <c r="A15" s="2" t="n"/>
      <c r="B15" s="3" t="n"/>
      <c r="C15" s="4" t="n"/>
      <c r="D15" s="4" t="n"/>
      <c r="E15" s="4" t="n"/>
      <c r="F15" s="4" t="n"/>
      <c r="G15" s="4" t="n"/>
      <c r="H15" s="4" t="n"/>
      <c r="I15" s="4" t="n"/>
      <c r="J15" s="4" t="n"/>
      <c r="K15" s="4" t="n"/>
      <c r="L15" s="2" t="n"/>
      <c r="M15" s="5">
        <f>IF(B15="","",C15-D15)</f>
        <v/>
      </c>
      <c r="N15" s="5">
        <f>IF(B15="","",M15-E15)</f>
        <v/>
      </c>
      <c r="O15" s="6">
        <f>IF(B15="","",IFERROR(N15/M15,0))</f>
        <v/>
      </c>
      <c r="P15" s="5">
        <f>IF(B15="","",N15+F15-G15-H15-I15)</f>
        <v/>
      </c>
      <c r="Q15" s="5">
        <f>IF(B15="","",P15+J15-K15)</f>
        <v/>
      </c>
      <c r="R15" s="5">
        <f>IF(B15="","",ROUND(MAX(0,Q15)*L15/100,0))</f>
        <v/>
      </c>
      <c r="S15" s="5">
        <f>IF(B15="","",Q15-R15)</f>
        <v/>
      </c>
      <c r="T15" s="6">
        <f>IF(B15="","",IFERROR(S15/M15,0))</f>
        <v/>
      </c>
      <c r="U15" s="7">
        <f>IF(B15="","",IF(Q15&lt;0,"Lỗ trong kỳ",IF(O15&lt;0.2,"Lãi gộp mỏng - xem lại giá vốn",IF(T15&lt;0.05,"Chi phí vận hành ăn gần hết lãi gộp","Bình thường"))))</f>
        <v/>
      </c>
    </row>
    <row r="16">
      <c r="A16" s="2" t="n"/>
      <c r="B16" s="3" t="n"/>
      <c r="C16" s="4" t="n"/>
      <c r="D16" s="4" t="n"/>
      <c r="E16" s="4" t="n"/>
      <c r="F16" s="4" t="n"/>
      <c r="G16" s="4" t="n"/>
      <c r="H16" s="4" t="n"/>
      <c r="I16" s="4" t="n"/>
      <c r="J16" s="4" t="n"/>
      <c r="K16" s="4" t="n"/>
      <c r="L16" s="2" t="n"/>
      <c r="M16" s="5">
        <f>IF(B16="","",C16-D16)</f>
        <v/>
      </c>
      <c r="N16" s="5">
        <f>IF(B16="","",M16-E16)</f>
        <v/>
      </c>
      <c r="O16" s="6">
        <f>IF(B16="","",IFERROR(N16/M16,0))</f>
        <v/>
      </c>
      <c r="P16" s="5">
        <f>IF(B16="","",N16+F16-G16-H16-I16)</f>
        <v/>
      </c>
      <c r="Q16" s="5">
        <f>IF(B16="","",P16+J16-K16)</f>
        <v/>
      </c>
      <c r="R16" s="5">
        <f>IF(B16="","",ROUND(MAX(0,Q16)*L16/100,0))</f>
        <v/>
      </c>
      <c r="S16" s="5">
        <f>IF(B16="","",Q16-R16)</f>
        <v/>
      </c>
      <c r="T16" s="6">
        <f>IF(B16="","",IFERROR(S16/M16,0))</f>
        <v/>
      </c>
      <c r="U16" s="7">
        <f>IF(B16="","",IF(Q16&lt;0,"Lỗ trong kỳ",IF(O16&lt;0.2,"Lãi gộp mỏng - xem lại giá vốn",IF(T16&lt;0.05,"Chi phí vận hành ăn gần hết lãi gộp","Bình thường"))))</f>
        <v/>
      </c>
    </row>
    <row r="17">
      <c r="A17" s="2" t="n"/>
      <c r="B17" s="3" t="n"/>
      <c r="C17" s="4" t="n"/>
      <c r="D17" s="4" t="n"/>
      <c r="E17" s="4" t="n"/>
      <c r="F17" s="4" t="n"/>
      <c r="G17" s="4" t="n"/>
      <c r="H17" s="4" t="n"/>
      <c r="I17" s="4" t="n"/>
      <c r="J17" s="4" t="n"/>
      <c r="K17" s="4" t="n"/>
      <c r="L17" s="2" t="n"/>
      <c r="M17" s="5">
        <f>IF(B17="","",C17-D17)</f>
        <v/>
      </c>
      <c r="N17" s="5">
        <f>IF(B17="","",M17-E17)</f>
        <v/>
      </c>
      <c r="O17" s="6">
        <f>IF(B17="","",IFERROR(N17/M17,0))</f>
        <v/>
      </c>
      <c r="P17" s="5">
        <f>IF(B17="","",N17+F17-G17-H17-I17)</f>
        <v/>
      </c>
      <c r="Q17" s="5">
        <f>IF(B17="","",P17+J17-K17)</f>
        <v/>
      </c>
      <c r="R17" s="5">
        <f>IF(B17="","",ROUND(MAX(0,Q17)*L17/100,0))</f>
        <v/>
      </c>
      <c r="S17" s="5">
        <f>IF(B17="","",Q17-R17)</f>
        <v/>
      </c>
      <c r="T17" s="6">
        <f>IF(B17="","",IFERROR(S17/M17,0))</f>
        <v/>
      </c>
      <c r="U17" s="7">
        <f>IF(B17="","",IF(Q17&lt;0,"Lỗ trong kỳ",IF(O17&lt;0.2,"Lãi gộp mỏng - xem lại giá vốn",IF(T17&lt;0.05,"Chi phí vận hành ăn gần hết lãi gộp","Bình thường"))))</f>
        <v/>
      </c>
    </row>
    <row r="18">
      <c r="A18" s="2" t="n"/>
      <c r="B18" s="3" t="n"/>
      <c r="C18" s="4" t="n"/>
      <c r="D18" s="4" t="n"/>
      <c r="E18" s="4" t="n"/>
      <c r="F18" s="4" t="n"/>
      <c r="G18" s="4" t="n"/>
      <c r="H18" s="4" t="n"/>
      <c r="I18" s="4" t="n"/>
      <c r="J18" s="4" t="n"/>
      <c r="K18" s="4" t="n"/>
      <c r="L18" s="2" t="n"/>
      <c r="M18" s="5">
        <f>IF(B18="","",C18-D18)</f>
        <v/>
      </c>
      <c r="N18" s="5">
        <f>IF(B18="","",M18-E18)</f>
        <v/>
      </c>
      <c r="O18" s="6">
        <f>IF(B18="","",IFERROR(N18/M18,0))</f>
        <v/>
      </c>
      <c r="P18" s="5">
        <f>IF(B18="","",N18+F18-G18-H18-I18)</f>
        <v/>
      </c>
      <c r="Q18" s="5">
        <f>IF(B18="","",P18+J18-K18)</f>
        <v/>
      </c>
      <c r="R18" s="5">
        <f>IF(B18="","",ROUND(MAX(0,Q18)*L18/100,0))</f>
        <v/>
      </c>
      <c r="S18" s="5">
        <f>IF(B18="","",Q18-R18)</f>
        <v/>
      </c>
      <c r="T18" s="6">
        <f>IF(B18="","",IFERROR(S18/M18,0))</f>
        <v/>
      </c>
      <c r="U18" s="7">
        <f>IF(B18="","",IF(Q18&lt;0,"Lỗ trong kỳ",IF(O18&lt;0.2,"Lãi gộp mỏng - xem lại giá vốn",IF(T18&lt;0.05,"Chi phí vận hành ăn gần hết lãi gộp","Bình thường"))))</f>
        <v/>
      </c>
    </row>
    <row r="19">
      <c r="A19" s="2" t="n"/>
      <c r="B19" s="3" t="n"/>
      <c r="C19" s="4" t="n"/>
      <c r="D19" s="4" t="n"/>
      <c r="E19" s="4" t="n"/>
      <c r="F19" s="4" t="n"/>
      <c r="G19" s="4" t="n"/>
      <c r="H19" s="4" t="n"/>
      <c r="I19" s="4" t="n"/>
      <c r="J19" s="4" t="n"/>
      <c r="K19" s="4" t="n"/>
      <c r="L19" s="2" t="n"/>
      <c r="M19" s="5">
        <f>IF(B19="","",C19-D19)</f>
        <v/>
      </c>
      <c r="N19" s="5">
        <f>IF(B19="","",M19-E19)</f>
        <v/>
      </c>
      <c r="O19" s="6">
        <f>IF(B19="","",IFERROR(N19/M19,0))</f>
        <v/>
      </c>
      <c r="P19" s="5">
        <f>IF(B19="","",N19+F19-G19-H19-I19)</f>
        <v/>
      </c>
      <c r="Q19" s="5">
        <f>IF(B19="","",P19+J19-K19)</f>
        <v/>
      </c>
      <c r="R19" s="5">
        <f>IF(B19="","",ROUND(MAX(0,Q19)*L19/100,0))</f>
        <v/>
      </c>
      <c r="S19" s="5">
        <f>IF(B19="","",Q19-R19)</f>
        <v/>
      </c>
      <c r="T19" s="6">
        <f>IF(B19="","",IFERROR(S19/M19,0))</f>
        <v/>
      </c>
      <c r="U19" s="7">
        <f>IF(B19="","",IF(Q19&lt;0,"Lỗ trong kỳ",IF(O19&lt;0.2,"Lãi gộp mỏng - xem lại giá vốn",IF(T19&lt;0.05,"Chi phí vận hành ăn gần hết lãi gộp","Bình thường"))))</f>
        <v/>
      </c>
    </row>
    <row r="20">
      <c r="A20" s="2" t="n"/>
      <c r="B20" s="3" t="n"/>
      <c r="C20" s="4" t="n"/>
      <c r="D20" s="4" t="n"/>
      <c r="E20" s="4" t="n"/>
      <c r="F20" s="4" t="n"/>
      <c r="G20" s="4" t="n"/>
      <c r="H20" s="4" t="n"/>
      <c r="I20" s="4" t="n"/>
      <c r="J20" s="4" t="n"/>
      <c r="K20" s="4" t="n"/>
      <c r="L20" s="2" t="n"/>
      <c r="M20" s="5">
        <f>IF(B20="","",C20-D20)</f>
        <v/>
      </c>
      <c r="N20" s="5">
        <f>IF(B20="","",M20-E20)</f>
        <v/>
      </c>
      <c r="O20" s="6">
        <f>IF(B20="","",IFERROR(N20/M20,0))</f>
        <v/>
      </c>
      <c r="P20" s="5">
        <f>IF(B20="","",N20+F20-G20-H20-I20)</f>
        <v/>
      </c>
      <c r="Q20" s="5">
        <f>IF(B20="","",P20+J20-K20)</f>
        <v/>
      </c>
      <c r="R20" s="5">
        <f>IF(B20="","",ROUND(MAX(0,Q20)*L20/100,0))</f>
        <v/>
      </c>
      <c r="S20" s="5">
        <f>IF(B20="","",Q20-R20)</f>
        <v/>
      </c>
      <c r="T20" s="6">
        <f>IF(B20="","",IFERROR(S20/M20,0))</f>
        <v/>
      </c>
      <c r="U20" s="7">
        <f>IF(B20="","",IF(Q20&lt;0,"Lỗ trong kỳ",IF(O20&lt;0.2,"Lãi gộp mỏng - xem lại giá vốn",IF(T20&lt;0.05,"Chi phí vận hành ăn gần hết lãi gộp","Bình thường"))))</f>
        <v/>
      </c>
    </row>
    <row r="21">
      <c r="A21" s="2" t="n"/>
      <c r="B21" s="3" t="n"/>
      <c r="C21" s="4" t="n"/>
      <c r="D21" s="4" t="n"/>
      <c r="E21" s="4" t="n"/>
      <c r="F21" s="4" t="n"/>
      <c r="G21" s="4" t="n"/>
      <c r="H21" s="4" t="n"/>
      <c r="I21" s="4" t="n"/>
      <c r="J21" s="4" t="n"/>
      <c r="K21" s="4" t="n"/>
      <c r="L21" s="2" t="n"/>
      <c r="M21" s="5">
        <f>IF(B21="","",C21-D21)</f>
        <v/>
      </c>
      <c r="N21" s="5">
        <f>IF(B21="","",M21-E21)</f>
        <v/>
      </c>
      <c r="O21" s="6">
        <f>IF(B21="","",IFERROR(N21/M21,0))</f>
        <v/>
      </c>
      <c r="P21" s="5">
        <f>IF(B21="","",N21+F21-G21-H21-I21)</f>
        <v/>
      </c>
      <c r="Q21" s="5">
        <f>IF(B21="","",P21+J21-K21)</f>
        <v/>
      </c>
      <c r="R21" s="5">
        <f>IF(B21="","",ROUND(MAX(0,Q21)*L21/100,0))</f>
        <v/>
      </c>
      <c r="S21" s="5">
        <f>IF(B21="","",Q21-R21)</f>
        <v/>
      </c>
      <c r="T21" s="6">
        <f>IF(B21="","",IFERROR(S21/M21,0))</f>
        <v/>
      </c>
      <c r="U21" s="7">
        <f>IF(B21="","",IF(Q21&lt;0,"Lỗ trong kỳ",IF(O21&lt;0.2,"Lãi gộp mỏng - xem lại giá vốn",IF(T21&lt;0.05,"Chi phí vận hành ăn gần hết lãi gộp","Bình thường"))))</f>
        <v/>
      </c>
    </row>
    <row r="22">
      <c r="A22" s="2" t="n"/>
      <c r="B22" s="3" t="n"/>
      <c r="C22" s="4" t="n"/>
      <c r="D22" s="4" t="n"/>
      <c r="E22" s="4" t="n"/>
      <c r="F22" s="4" t="n"/>
      <c r="G22" s="4" t="n"/>
      <c r="H22" s="4" t="n"/>
      <c r="I22" s="4" t="n"/>
      <c r="J22" s="4" t="n"/>
      <c r="K22" s="4" t="n"/>
      <c r="L22" s="2" t="n"/>
      <c r="M22" s="5">
        <f>IF(B22="","",C22-D22)</f>
        <v/>
      </c>
      <c r="N22" s="5">
        <f>IF(B22="","",M22-E22)</f>
        <v/>
      </c>
      <c r="O22" s="6">
        <f>IF(B22="","",IFERROR(N22/M22,0))</f>
        <v/>
      </c>
      <c r="P22" s="5">
        <f>IF(B22="","",N22+F22-G22-H22-I22)</f>
        <v/>
      </c>
      <c r="Q22" s="5">
        <f>IF(B22="","",P22+J22-K22)</f>
        <v/>
      </c>
      <c r="R22" s="5">
        <f>IF(B22="","",ROUND(MAX(0,Q22)*L22/100,0))</f>
        <v/>
      </c>
      <c r="S22" s="5">
        <f>IF(B22="","",Q22-R22)</f>
        <v/>
      </c>
      <c r="T22" s="6">
        <f>IF(B22="","",IFERROR(S22/M22,0))</f>
        <v/>
      </c>
      <c r="U22" s="7">
        <f>IF(B22="","",IF(Q22&lt;0,"Lỗ trong kỳ",IF(O22&lt;0.2,"Lãi gộp mỏng - xem lại giá vốn",IF(T22&lt;0.05,"Chi phí vận hành ăn gần hết lãi gộp","Bình thường"))))</f>
        <v/>
      </c>
    </row>
    <row r="23">
      <c r="A23" s="2" t="n"/>
      <c r="B23" s="3" t="n"/>
      <c r="C23" s="4" t="n"/>
      <c r="D23" s="4" t="n"/>
      <c r="E23" s="4" t="n"/>
      <c r="F23" s="4" t="n"/>
      <c r="G23" s="4" t="n"/>
      <c r="H23" s="4" t="n"/>
      <c r="I23" s="4" t="n"/>
      <c r="J23" s="4" t="n"/>
      <c r="K23" s="4" t="n"/>
      <c r="L23" s="2" t="n"/>
      <c r="M23" s="5">
        <f>IF(B23="","",C23-D23)</f>
        <v/>
      </c>
      <c r="N23" s="5">
        <f>IF(B23="","",M23-E23)</f>
        <v/>
      </c>
      <c r="O23" s="6">
        <f>IF(B23="","",IFERROR(N23/M23,0))</f>
        <v/>
      </c>
      <c r="P23" s="5">
        <f>IF(B23="","",N23+F23-G23-H23-I23)</f>
        <v/>
      </c>
      <c r="Q23" s="5">
        <f>IF(B23="","",P23+J23-K23)</f>
        <v/>
      </c>
      <c r="R23" s="5">
        <f>IF(B23="","",ROUND(MAX(0,Q23)*L23/100,0))</f>
        <v/>
      </c>
      <c r="S23" s="5">
        <f>IF(B23="","",Q23-R23)</f>
        <v/>
      </c>
      <c r="T23" s="6">
        <f>IF(B23="","",IFERROR(S23/M23,0))</f>
        <v/>
      </c>
      <c r="U23" s="7">
        <f>IF(B23="","",IF(Q23&lt;0,"Lỗ trong kỳ",IF(O23&lt;0.2,"Lãi gộp mỏng - xem lại giá vốn",IF(T23&lt;0.05,"Chi phí vận hành ăn gần hết lãi gộp","Bình thường"))))</f>
        <v/>
      </c>
    </row>
    <row r="24">
      <c r="A24" s="2" t="n"/>
      <c r="B24" s="3" t="n"/>
      <c r="C24" s="4" t="n"/>
      <c r="D24" s="4" t="n"/>
      <c r="E24" s="4" t="n"/>
      <c r="F24" s="4" t="n"/>
      <c r="G24" s="4" t="n"/>
      <c r="H24" s="4" t="n"/>
      <c r="I24" s="4" t="n"/>
      <c r="J24" s="4" t="n"/>
      <c r="K24" s="4" t="n"/>
      <c r="L24" s="2" t="n"/>
      <c r="M24" s="5">
        <f>IF(B24="","",C24-D24)</f>
        <v/>
      </c>
      <c r="N24" s="5">
        <f>IF(B24="","",M24-E24)</f>
        <v/>
      </c>
      <c r="O24" s="6">
        <f>IF(B24="","",IFERROR(N24/M24,0))</f>
        <v/>
      </c>
      <c r="P24" s="5">
        <f>IF(B24="","",N24+F24-G24-H24-I24)</f>
        <v/>
      </c>
      <c r="Q24" s="5">
        <f>IF(B24="","",P24+J24-K24)</f>
        <v/>
      </c>
      <c r="R24" s="5">
        <f>IF(B24="","",ROUND(MAX(0,Q24)*L24/100,0))</f>
        <v/>
      </c>
      <c r="S24" s="5">
        <f>IF(B24="","",Q24-R24)</f>
        <v/>
      </c>
      <c r="T24" s="6">
        <f>IF(B24="","",IFERROR(S24/M24,0))</f>
        <v/>
      </c>
      <c r="U24" s="7">
        <f>IF(B24="","",IF(Q24&lt;0,"Lỗ trong kỳ",IF(O24&lt;0.2,"Lãi gộp mỏng - xem lại giá vốn",IF(T24&lt;0.05,"Chi phí vận hành ăn gần hết lãi gộp","Bình thường"))))</f>
        <v/>
      </c>
    </row>
    <row r="25">
      <c r="A25" s="2" t="n"/>
      <c r="B25" s="3" t="n"/>
      <c r="C25" s="4" t="n"/>
      <c r="D25" s="4" t="n"/>
      <c r="E25" s="4" t="n"/>
      <c r="F25" s="4" t="n"/>
      <c r="G25" s="4" t="n"/>
      <c r="H25" s="4" t="n"/>
      <c r="I25" s="4" t="n"/>
      <c r="J25" s="4" t="n"/>
      <c r="K25" s="4" t="n"/>
      <c r="L25" s="2" t="n"/>
      <c r="M25" s="5">
        <f>IF(B25="","",C25-D25)</f>
        <v/>
      </c>
      <c r="N25" s="5">
        <f>IF(B25="","",M25-E25)</f>
        <v/>
      </c>
      <c r="O25" s="6">
        <f>IF(B25="","",IFERROR(N25/M25,0))</f>
        <v/>
      </c>
      <c r="P25" s="5">
        <f>IF(B25="","",N25+F25-G25-H25-I25)</f>
        <v/>
      </c>
      <c r="Q25" s="5">
        <f>IF(B25="","",P25+J25-K25)</f>
        <v/>
      </c>
      <c r="R25" s="5">
        <f>IF(B25="","",ROUND(MAX(0,Q25)*L25/100,0))</f>
        <v/>
      </c>
      <c r="S25" s="5">
        <f>IF(B25="","",Q25-R25)</f>
        <v/>
      </c>
      <c r="T25" s="6">
        <f>IF(B25="","",IFERROR(S25/M25,0))</f>
        <v/>
      </c>
      <c r="U25" s="7">
        <f>IF(B25="","",IF(Q25&lt;0,"Lỗ trong kỳ",IF(O25&lt;0.2,"Lãi gộp mỏng - xem lại giá vốn",IF(T25&lt;0.05,"Chi phí vận hành ăn gần hết lãi gộp","Bình thường"))))</f>
        <v/>
      </c>
    </row>
  </sheetData>
  <autoFilter ref="A1:U25"/>
  <dataValidations count="10">
    <dataValidation sqref="C2:C25" showDropDown="0" showInputMessage="0" showErrorMessage="0" allowBlank="1" errorTitle="Sai định dạng" error="Giá trị không hợp lệ cho cột này." type="decimal" operator="between">
      <formula1>0</formula1>
      <formula2>100000000000</formula2>
    </dataValidation>
    <dataValidation sqref="D2:D25" showDropDown="0" showInputMessage="0" showErrorMessage="0" allowBlank="1" errorTitle="Sai định dạng" error="Giá trị không hợp lệ cho cột này." type="decimal" operator="between">
      <formula1>0</formula1>
      <formula2>100000000000</formula2>
    </dataValidation>
    <dataValidation sqref="E2:E25" showDropDown="0" showInputMessage="0" showErrorMessage="0" allowBlank="1" errorTitle="Sai định dạng" error="Giá trị không hợp lệ cho cột này." type="decimal" operator="between">
      <formula1>0</formula1>
      <formula2>100000000000</formula2>
    </dataValidation>
    <dataValidation sqref="F2:F25" showDropDown="0" showInputMessage="0" showErrorMessage="0" allowBlank="1" errorTitle="Sai định dạng" error="Giá trị không hợp lệ cho cột này." type="decimal" operator="between">
      <formula1>0</formula1>
      <formula2>100000000000</formula2>
    </dataValidation>
    <dataValidation sqref="G2:G25" showDropDown="0" showInputMessage="0" showErrorMessage="0" allowBlank="1" errorTitle="Sai định dạng" error="Giá trị không hợp lệ cho cột này." type="decimal" operator="between">
      <formula1>0</formula1>
      <formula2>100000000000</formula2>
    </dataValidation>
    <dataValidation sqref="H2:H25" showDropDown="0" showInputMessage="0" showErrorMessage="0" allowBlank="1" errorTitle="Sai định dạng" error="Giá trị không hợp lệ cho cột này." type="decimal" operator="between">
      <formula1>0</formula1>
      <formula2>100000000000</formula2>
    </dataValidation>
    <dataValidation sqref="I2:I25" showDropDown="0" showInputMessage="0" showErrorMessage="0" allowBlank="1" errorTitle="Sai định dạng" error="Giá trị không hợp lệ cho cột này." type="decimal" operator="between">
      <formula1>0</formula1>
      <formula2>100000000000</formula2>
    </dataValidation>
    <dataValidation sqref="J2:J25" showDropDown="0" showInputMessage="0" showErrorMessage="0" allowBlank="1" errorTitle="Sai định dạng" error="Giá trị không hợp lệ cho cột này." type="decimal" operator="between">
      <formula1>0</formula1>
      <formula2>100000000000</formula2>
    </dataValidation>
    <dataValidation sqref="K2:K25" showDropDown="0" showInputMessage="0" showErrorMessage="0" allowBlank="1" errorTitle="Sai định dạng" error="Giá trị không hợp lệ cho cột này." type="decimal" operator="between">
      <formula1>0</formula1>
      <formula2>100000000000</formula2>
    </dataValidation>
    <dataValidation sqref="L2:L25" showDropDown="0" showInputMessage="0" showErrorMessage="0" allowBlank="1" errorTitle="Sai định dạng" error="Giá trị không hợp lệ cho cột này." type="decimal" operator="between">
      <formula1>0</formula1>
      <formula2>50</formula2>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B1:B36"/>
  <sheetViews>
    <sheetView workbookViewId="0">
      <selection activeCell="A1" sqref="A1"/>
    </sheetView>
  </sheetViews>
  <sheetFormatPr baseColWidth="8" defaultRowHeight="15"/>
  <cols>
    <col width="4" customWidth="1" min="1" max="1"/>
    <col width="100" customWidth="1" min="2" max="2"/>
  </cols>
  <sheetData>
    <row r="1">
      <c r="B1" s="8" t="inlineStr">
        <is>
          <t>Mẫu Excel báo cáo kết quả kinh doanh theo tháng</t>
        </is>
      </c>
    </row>
    <row r="2">
      <c r="B2" s="9" t="inlineStr"/>
    </row>
    <row r="3">
      <c r="B3" s="10" t="inlineStr">
        <is>
          <t>CÁCH DÙNG</t>
        </is>
      </c>
    </row>
    <row r="4">
      <c r="B4" s="11" t="inlineStr">
        <is>
          <t>1. Lấy số từ sổ sách của tháng</t>
        </is>
      </c>
    </row>
    <row r="5">
      <c r="B5" s="9" t="inlineStr">
        <is>
          <t xml:space="preserve">   Doanh thu bán hàng là doanh thu ghi nhận trong tháng, không phải tiền đã thu. Giảm trừ doanh thu gồm chiết khấu thương mại, giảm giá hàng bán và hàng bán bị trả lại. Giá vốn hàng bán là giá vốn của đúng phần hàng đã bán ra trong tháng, không phải tiền mua hàng nhập kho.</t>
        </is>
      </c>
    </row>
    <row r="6">
      <c r="B6" s="11" t="inlineStr">
        <is>
          <t>2. Tách chi phí bán hàng khỏi chi phí quản lý</t>
        </is>
      </c>
    </row>
    <row r="7">
      <c r="B7" s="9" t="inlineStr">
        <is>
          <t xml:space="preserve">   Chi phí bán hàng là chi phí để bán được hàng: lương kinh doanh, vận chuyển giao hàng, quảng cáo, hoa hồng. Chi phí quản lý là chi phí duy trì bộ máy: lương văn phòng, thuê nhà, khấu hao thiết bị quản lý. Tách sai hai nhóm này thì tổng lợi nhuận vẫn đúng nhưng bạn mất khả năng biết tiền chảy đi đâu.</t>
        </is>
      </c>
    </row>
    <row r="8">
      <c r="B8" s="11" t="inlineStr">
        <is>
          <t>3. Nhập hoạt động tài chính và các khoản khác</t>
        </is>
      </c>
    </row>
    <row r="9">
      <c r="B9" s="9" t="inlineStr">
        <is>
          <t xml:space="preserve">   Doanh thu tài chính thường là lãi tiền gửi, chi phí tài chính thường là lãi vay. Thu nhập khác và chi phí khác là những khoản không lặp lại như thanh lý tài sản hay tiền phạt hợp đồng — để riêng nên chúng không làm méo bức tranh hoạt động chính.</t>
        </is>
      </c>
    </row>
    <row r="10">
      <c r="B10" s="11" t="inlineStr">
        <is>
          <t>4. Đặt thuế suất thuế thu nhập doanh nghiệp</t>
        </is>
      </c>
    </row>
    <row r="11">
      <c r="B11" s="9" t="inlineStr">
        <is>
          <t xml:space="preserve">   Nhập bằng con số phần trăm, ví dụ gõ 20 cho mức 20%. Doanh nghiệp thuộc diện được ưu đãi thì gõ đúng mức đang áp dụng cho mình. Tháng lỗ sẽ tự ra thuế bằng 0, bạn không phải xóa công thức.</t>
        </is>
      </c>
    </row>
    <row r="12">
      <c r="B12" s="11" t="inlineStr">
        <is>
          <t>5. Đọc hai cột biên lợi nhuận</t>
        </is>
      </c>
    </row>
    <row r="13">
      <c r="B13" s="9" t="inlineStr">
        <is>
          <t xml:space="preserve">   Biên lãi gộp tụt là chuyện của giá bán và giá vốn: hàng đang bị bán rẻ đi hoặc đầu vào đang đắt lên. Biên lãi gộp giữ nguyên mà biên lợi nhuận ròng tụt là chuyện của chi phí bán hàng và quản lý. Hai nguyên nhân đó đòi hai cách xử lý hoàn toàn khác nhau, nên file tách riêng hai cột.</t>
        </is>
      </c>
    </row>
    <row r="14">
      <c r="B14" s="9" t="inlineStr"/>
    </row>
    <row r="15">
      <c r="B15" s="10" t="inlineStr">
        <is>
          <t>CÔNG THỨC TRONG FILE</t>
        </is>
      </c>
    </row>
    <row r="16">
      <c r="B16" s="11" t="inlineStr">
        <is>
          <t>Doanh thu thuần  —  =IF(B2="","",C2-D2)</t>
        </is>
      </c>
    </row>
    <row r="17">
      <c r="B17" s="9" t="inlineStr">
        <is>
          <t xml:space="preserve">   Doanh thu bán hàng trừ các khoản giảm trừ. Đây mới là mẫu số của mọi tỷ lệ phía sau — lấy doanh thu gộp làm mẫu số sẽ thổi phồng biên lợi nhuận đúng bằng phần chiết khấu và hàng bị trả lại.</t>
        </is>
      </c>
    </row>
    <row r="18">
      <c r="B18" s="11" t="inlineStr">
        <is>
          <t>Lợi nhuận gộp  —  =IF(B2="","",M2-E2)</t>
        </is>
      </c>
    </row>
    <row r="19">
      <c r="B19" s="9" t="inlineStr">
        <is>
          <t xml:space="preserve">   Phần còn lại sau khi trừ giá vốn của hàng đã bán, tức là tiền để nuôi toàn bộ chi phí vận hành. Lợi nhuận gộp âm nghĩa là càng bán càng lỗ, và không có cách cắt giảm chi phí nào cứu được.</t>
        </is>
      </c>
    </row>
    <row r="20">
      <c r="B20" s="11" t="inlineStr">
        <is>
          <t>Biên lãi gộp  —  =IF(B2="","",IFERROR(N2/M2,0))</t>
        </is>
      </c>
    </row>
    <row r="21">
      <c r="B21" s="9" t="inlineStr">
        <is>
          <t xml:space="preserve">   Trong 100 đồng doanh thu thuần còn lại bao nhiêu sau giá vốn. Chỉ số nhạy nhất với việc giảm giá bán và với giá đầu vào tăng, nên tụt ở đây là tín hiệu sớm hơn nhiều so với lúc lợi nhuận cuối cùng chuyển sang âm.</t>
        </is>
      </c>
    </row>
    <row r="22">
      <c r="B22" s="11" t="inlineStr">
        <is>
          <t>Lợi nhuận thuần HĐKD  —  =IF(B2="","",N2+F2-G2-H2-I2)</t>
        </is>
      </c>
    </row>
    <row r="23">
      <c r="B23" s="9" t="inlineStr">
        <is>
          <t xml:space="preserve">   Kết quả của hoạt động kinh doanh chính, đã tính cả hoạt động tài chính nhưng chưa tính các khoản bất thường. Đây là con số nên dùng khi so tháng này với tháng khác, vì nó không bị một lần thanh lý tài sản làm nhảy vọt.</t>
        </is>
      </c>
    </row>
    <row r="24">
      <c r="B24" s="11" t="inlineStr">
        <is>
          <t>Lợi nhuận trước thuế  —  =IF(B2="","",P2+J2-K2)</t>
        </is>
      </c>
    </row>
    <row r="25">
      <c r="B25" s="9" t="inlineStr">
        <is>
          <t xml:space="preserve">   Cộng thêm phần lãi lỗ của các khoản không thuộc hoạt động chính như thanh lý tài sản hay tiền phạt hợp đồng. Đây là căn cứ để ước tính thuế ở cột kế bên.</t>
        </is>
      </c>
    </row>
    <row r="26">
      <c r="B26" s="11" t="inlineStr">
        <is>
          <t>Thuế TNDN  —  =IF(B2="","",ROUND(MAX(0,Q2)*L2/100,0))</t>
        </is>
      </c>
    </row>
    <row r="27">
      <c r="B27" s="9" t="inlineStr">
        <is>
          <t xml:space="preserve">   Hàm MAX đưa tháng lỗ về 0 trước khi nhân thuế suất, nếu không số thuế sẽ ra âm và đọc thành được hoàn thuế. Đây là số ước tính theo tháng; thuế thật tính trên kết quả cả năm và còn phải loại các khoản chi không được trừ.</t>
        </is>
      </c>
    </row>
    <row r="28">
      <c r="B28" s="11" t="inlineStr">
        <is>
          <t>Lợi nhuận sau thuế  —  =IF(B2="","",Q2-R2)</t>
        </is>
      </c>
    </row>
    <row r="29">
      <c r="B29" s="9" t="inlineStr">
        <is>
          <t xml:space="preserve">   Phần lợi nhuận thật sự thuộc về chủ doanh nghiệp. Tháng lỗ giữ nguyên số lỗ vì thuế bằng 0, nên cột này đọc được liền mạch qua cả tháng lãi lẫn tháng lỗ.</t>
        </is>
      </c>
    </row>
    <row r="30">
      <c r="B30" s="11" t="inlineStr">
        <is>
          <t>Biên lợi nhuận ròng  —  =IF(B2="","",IFERROR(S2/M2,0))</t>
        </is>
      </c>
    </row>
    <row r="31">
      <c r="B31" s="9" t="inlineStr">
        <is>
          <t xml:space="preserve">   Trong 100 đồng doanh thu thuần, cuối cùng còn lại bao nhiêu. Đọc kèm biên lãi gộp mới ra nguyên nhân: hai chỉ số cùng tụt là vấn đề giá vốn, chỉ mình chỉ số này tụt là vấn đề chi phí bán hàng và quản lý.</t>
        </is>
      </c>
    </row>
    <row r="32">
      <c r="B32" s="11" t="inlineStr">
        <is>
          <t>Cảnh báo  —  =IF(B2="","",IF(Q2&lt;0,"Lỗ trong kỳ",IF(O2&lt;0.2,"Lãi gộp mỏng - xem lại giá vốn",IF(T2&lt;0.05,"Chi phí vận hành ăn gần hết lãi gộp","Bình thường"))))</t>
        </is>
      </c>
    </row>
    <row r="33">
      <c r="B33" s="9" t="inlineStr">
        <is>
          <t xml:space="preserve">   Ba tình huống, mỗi tình huống trỏ về một chỗ khác nhau để đi tìm nguyên nhân. Ngưỡng 20% và 5% là mức tham chiếu chung, doanh nghiệp thương mại vòng quay nhanh có thể sống tốt dưới mức đó — hãy sửa hai con số này cho hợp ngành của bạn.</t>
        </is>
      </c>
    </row>
    <row r="34">
      <c r="B34" s="9" t="inlineStr"/>
    </row>
    <row r="35">
      <c r="B35" s="11" t="inlineStr">
        <is>
          <t>Bản cập nhật mới nhất và hướng dẫn chi tiết:</t>
        </is>
      </c>
    </row>
    <row r="36">
      <c r="B36" s="12" t="inlineStr">
        <is>
          <t>https://excel.nguyenvietloc.com/mau-excel/ke-toan/bao-cao-ket-qua-kinh-doanh</t>
        </is>
      </c>
    </row>
  </sheetData>
  <hyperlinks>
    <hyperlink xmlns:r="http://schemas.openxmlformats.org/officeDocument/2006/relationships" ref="B36"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2026-08-10T14:10:51Z</dcterms:created>
  <dcterms:modified xsi:type="dcterms:W3CDTF">2026-08-10T14:10:51Z</dcterms:modified>
</cp:coreProperties>
</file>