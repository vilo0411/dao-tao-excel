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ảng kê hóa đơn" sheetId="1" state="visible" r:id="rId1"/>
    <sheet name="Hướng dẫn" sheetId="2" state="visible" r:id="rId2"/>
  </sheets>
  <definedNames>
    <definedName name="_xlnm._FilterDatabase" localSheetId="0" hidden="1">'Bảng kê hóa đơn'!$A$1:$P$47</definedName>
  </definedNames>
  <calcPr calcId="124519" fullCalcOnLoad="1"/>
</workbook>
</file>

<file path=xl/styles.xml><?xml version="1.0" encoding="utf-8"?>
<styleSheet xmlns="http://schemas.openxmlformats.org/spreadsheetml/2006/main">
  <numFmts count="4">
    <numFmt numFmtId="164" formatCode="#,##0.##"/>
    <numFmt numFmtId="165" formatCode="yyyy-mm-dd"/>
    <numFmt numFmtId="166" formatCode="dd/mm/yyyy"/>
    <numFmt numFmtId="167" formatCode="#,##0 &quot;₫&quot;"/>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6" fontId="0" fillId="0" borderId="1" pivotButton="0" quotePrefix="0" xfId="0"/>
    <xf numFmtId="167" fontId="0" fillId="0" borderId="1" pivotButton="0" quotePrefix="0" xfId="0"/>
    <xf numFmtId="167" fontId="0" fillId="3" borderId="1" pivotButton="0" quotePrefix="0" xfId="0"/>
    <xf numFmtId="49"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ke-toan/bang-ke-hoa-don-dau-vao-dau-ra" TargetMode="External" Id="rId1" /></Relationships>
</file>

<file path=xl/worksheets/sheet1.xml><?xml version="1.0" encoding="utf-8"?>
<worksheet xmlns="http://schemas.openxmlformats.org/spreadsheetml/2006/main">
  <sheetPr>
    <outlinePr summaryBelow="1" summaryRight="1"/>
    <pageSetUpPr/>
  </sheetPr>
  <dimension ref="A1:P47"/>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12" customWidth="1" min="3" max="3"/>
    <col width="11" customWidth="1" min="4" max="4"/>
    <col width="12" customWidth="1" min="5" max="5"/>
    <col width="30" customWidth="1" min="6" max="6"/>
    <col width="15" customWidth="1" min="7" max="7"/>
    <col width="28" customWidth="1" min="8" max="8"/>
    <col width="18" customWidth="1" min="9" max="9"/>
    <col width="12" customWidth="1" min="10" max="10"/>
    <col width="18" customWidth="1" min="11" max="11"/>
    <col width="16" customWidth="1" min="12" max="12"/>
    <col width="18" customWidth="1" min="13" max="13"/>
    <col width="16" customWidth="1" min="14" max="14"/>
    <col width="22" customWidth="1" min="15" max="15"/>
    <col width="34" customWidth="1" min="16" max="16"/>
  </cols>
  <sheetData>
    <row r="1" ht="32" customHeight="1">
      <c r="A1" s="1" t="inlineStr">
        <is>
          <t>STT</t>
        </is>
      </c>
      <c r="B1" s="1" t="inlineStr">
        <is>
          <t>Loại hóa đơn</t>
        </is>
      </c>
      <c r="C1" s="1" t="inlineStr">
        <is>
          <t>Ngày hóa đơn</t>
        </is>
      </c>
      <c r="D1" s="1" t="inlineStr">
        <is>
          <t>Ký hiệu</t>
        </is>
      </c>
      <c r="E1" s="1" t="inlineStr">
        <is>
          <t>Số hóa đơn</t>
        </is>
      </c>
      <c r="F1" s="1" t="inlineStr">
        <is>
          <t>Tên đối tác</t>
        </is>
      </c>
      <c r="G1" s="1" t="inlineStr">
        <is>
          <t>Mã số thuế</t>
        </is>
      </c>
      <c r="H1" s="1" t="inlineStr">
        <is>
          <t>Nội dung</t>
        </is>
      </c>
      <c r="I1" s="1" t="inlineStr">
        <is>
          <t>Doanh số chưa thuế</t>
        </is>
      </c>
      <c r="J1" s="1" t="inlineStr">
        <is>
          <t>Thuế suất (%)</t>
        </is>
      </c>
      <c r="K1" s="1" t="inlineStr">
        <is>
          <t>Hình thức thanh toán</t>
        </is>
      </c>
      <c r="L1" s="1" t="inlineStr">
        <is>
          <t>Tiền thuế GTGT</t>
        </is>
      </c>
      <c r="M1" s="1" t="inlineStr">
        <is>
          <t>Tổng thanh toán</t>
        </is>
      </c>
      <c r="N1" s="1" t="inlineStr">
        <is>
          <t>Thuế đầu ra</t>
        </is>
      </c>
      <c r="O1" s="1" t="inlineStr">
        <is>
          <t>Thuế đầu vào được khấu trừ</t>
        </is>
      </c>
      <c r="P1" s="1" t="inlineStr">
        <is>
          <t>Cảnh báo</t>
        </is>
      </c>
    </row>
    <row r="2">
      <c r="A2" s="2" t="n">
        <v>1</v>
      </c>
      <c r="B2" s="3" t="inlineStr">
        <is>
          <t>Đầu ra</t>
        </is>
      </c>
      <c r="C2" s="4" t="n">
        <v>46206</v>
      </c>
      <c r="D2" s="3" t="inlineStr">
        <is>
          <t>1C26TAA</t>
        </is>
      </c>
      <c r="E2" s="3" t="inlineStr">
        <is>
          <t>00001245</t>
        </is>
      </c>
      <c r="F2" s="3" t="inlineStr">
        <is>
          <t>Công ty TNHH Thương mại An Phát</t>
        </is>
      </c>
      <c r="G2" s="3" t="inlineStr">
        <is>
          <t>0301234567</t>
        </is>
      </c>
      <c r="H2" s="3" t="inlineStr">
        <is>
          <t>Bán hàng hóa theo hợp đồng 12/2026</t>
        </is>
      </c>
      <c r="I2" s="5" t="n">
        <v>185000000</v>
      </c>
      <c r="J2" s="2" t="n">
        <v>10</v>
      </c>
      <c r="K2" s="3" t="inlineStr">
        <is>
          <t>Chuyển khoản</t>
        </is>
      </c>
      <c r="L2" s="6">
        <f>IF(E2="","",ROUND(I2*J2/100,0))</f>
        <v/>
      </c>
      <c r="M2" s="6">
        <f>IF(E2="","",I2+L2)</f>
        <v/>
      </c>
      <c r="N2" s="6">
        <f>IF(E2="","",IF(B2="Đầu ra",L2,0))</f>
        <v/>
      </c>
      <c r="O2" s="6">
        <f>IF(E2="","",IF(B2&lt;&gt;"Đầu vào",0,IF(AND(M2&gt;=20000000,K2="Tiền mặt"),0,L2)))</f>
        <v/>
      </c>
      <c r="P2" s="7">
        <f>IF(E2="","",IF(G2="","Thiếu mã số thuế đối tác",IF(AND(B2="Đầu vào",M2&gt;=20000000,K2="Tiền mặt"),"Từ 20 triệu trả tiền mặt - không được khấu trừ",IF(I2=0,"Chưa nhập doanh số","Hợp lệ"))))</f>
        <v/>
      </c>
    </row>
    <row r="3">
      <c r="A3" s="2" t="n">
        <v>2</v>
      </c>
      <c r="B3" s="3" t="inlineStr">
        <is>
          <t>Đầu vào</t>
        </is>
      </c>
      <c r="C3" s="4" t="n">
        <v>46208</v>
      </c>
      <c r="D3" s="3" t="inlineStr">
        <is>
          <t>1C26TBB</t>
        </is>
      </c>
      <c r="E3" s="3" t="inlineStr">
        <is>
          <t>00007781</t>
        </is>
      </c>
      <c r="F3" s="3" t="inlineStr">
        <is>
          <t>Công ty CP Sản xuất Minh Long</t>
        </is>
      </c>
      <c r="G3" s="3" t="inlineStr">
        <is>
          <t>0302987654</t>
        </is>
      </c>
      <c r="H3" s="3" t="inlineStr">
        <is>
          <t>Mua nguyên vật liệu nhập kho</t>
        </is>
      </c>
      <c r="I3" s="5" t="n">
        <v>96000000</v>
      </c>
      <c r="J3" s="2" t="n">
        <v>10</v>
      </c>
      <c r="K3" s="3" t="inlineStr">
        <is>
          <t>Chuyển khoản</t>
        </is>
      </c>
      <c r="L3" s="6">
        <f>IF(E3="","",ROUND(I3*J3/100,0))</f>
        <v/>
      </c>
      <c r="M3" s="6">
        <f>IF(E3="","",I3+L3)</f>
        <v/>
      </c>
      <c r="N3" s="6">
        <f>IF(E3="","",IF(B3="Đầu ra",L3,0))</f>
        <v/>
      </c>
      <c r="O3" s="6">
        <f>IF(E3="","",IF(B3&lt;&gt;"Đầu vào",0,IF(AND(M3&gt;=20000000,K3="Tiền mặt"),0,L3)))</f>
        <v/>
      </c>
      <c r="P3" s="7">
        <f>IF(E3="","",IF(G3="","Thiếu mã số thuế đối tác",IF(AND(B3="Đầu vào",M3&gt;=20000000,K3="Tiền mặt"),"Từ 20 triệu trả tiền mặt - không được khấu trừ",IF(I3=0,"Chưa nhập doanh số","Hợp lệ"))))</f>
        <v/>
      </c>
    </row>
    <row r="4">
      <c r="A4" s="2" t="n">
        <v>3</v>
      </c>
      <c r="B4" s="3" t="inlineStr">
        <is>
          <t>Đầu vào</t>
        </is>
      </c>
      <c r="C4" s="4" t="n">
        <v>46212</v>
      </c>
      <c r="D4" s="3" t="inlineStr">
        <is>
          <t>1C26TCC</t>
        </is>
      </c>
      <c r="E4" s="3" t="inlineStr">
        <is>
          <t>00000342</t>
        </is>
      </c>
      <c r="F4" s="3" t="inlineStr">
        <is>
          <t>Cửa hàng vật tư Hòa Bình</t>
        </is>
      </c>
      <c r="G4" s="3" t="inlineStr">
        <is>
          <t>8102345678</t>
        </is>
      </c>
      <c r="H4" s="3" t="inlineStr">
        <is>
          <t>Mua vật tư sửa chữa xưởng</t>
        </is>
      </c>
      <c r="I4" s="5" t="n">
        <v>24000000</v>
      </c>
      <c r="J4" s="2" t="n">
        <v>10</v>
      </c>
      <c r="K4" s="3" t="inlineStr">
        <is>
          <t>Tiền mặt</t>
        </is>
      </c>
      <c r="L4" s="6">
        <f>IF(E4="","",ROUND(I4*J4/100,0))</f>
        <v/>
      </c>
      <c r="M4" s="6">
        <f>IF(E4="","",I4+L4)</f>
        <v/>
      </c>
      <c r="N4" s="6">
        <f>IF(E4="","",IF(B4="Đầu ra",L4,0))</f>
        <v/>
      </c>
      <c r="O4" s="6">
        <f>IF(E4="","",IF(B4&lt;&gt;"Đầu vào",0,IF(AND(M4&gt;=20000000,K4="Tiền mặt"),0,L4)))</f>
        <v/>
      </c>
      <c r="P4" s="7">
        <f>IF(E4="","",IF(G4="","Thiếu mã số thuế đối tác",IF(AND(B4="Đầu vào",M4&gt;=20000000,K4="Tiền mặt"),"Từ 20 triệu trả tiền mặt - không được khấu trừ",IF(I4=0,"Chưa nhập doanh số","Hợp lệ"))))</f>
        <v/>
      </c>
    </row>
    <row r="5">
      <c r="A5" s="2" t="n">
        <v>4</v>
      </c>
      <c r="B5" s="3" t="inlineStr">
        <is>
          <t>Đầu vào</t>
        </is>
      </c>
      <c r="C5" s="4" t="n">
        <v>46215</v>
      </c>
      <c r="D5" s="3" t="inlineStr">
        <is>
          <t>1C26TDD</t>
        </is>
      </c>
      <c r="E5" s="3" t="inlineStr">
        <is>
          <t>00019004</t>
        </is>
      </c>
      <c r="F5" s="3" t="inlineStr">
        <is>
          <t>Công ty Dịch vụ vận tải Tân Cảng</t>
        </is>
      </c>
      <c r="G5" s="3" t="inlineStr"/>
      <c r="H5" s="3" t="inlineStr">
        <is>
          <t>Cước vận chuyển tháng 6</t>
        </is>
      </c>
      <c r="I5" s="5" t="n">
        <v>18500000</v>
      </c>
      <c r="J5" s="2" t="n">
        <v>8</v>
      </c>
      <c r="K5" s="3" t="inlineStr">
        <is>
          <t>Chuyển khoản</t>
        </is>
      </c>
      <c r="L5" s="6">
        <f>IF(E5="","",ROUND(I5*J5/100,0))</f>
        <v/>
      </c>
      <c r="M5" s="6">
        <f>IF(E5="","",I5+L5)</f>
        <v/>
      </c>
      <c r="N5" s="6">
        <f>IF(E5="","",IF(B5="Đầu ra",L5,0))</f>
        <v/>
      </c>
      <c r="O5" s="6">
        <f>IF(E5="","",IF(B5&lt;&gt;"Đầu vào",0,IF(AND(M5&gt;=20000000,K5="Tiền mặt"),0,L5)))</f>
        <v/>
      </c>
      <c r="P5" s="7">
        <f>IF(E5="","",IF(G5="","Thiếu mã số thuế đối tác",IF(AND(B5="Đầu vào",M5&gt;=20000000,K5="Tiền mặt"),"Từ 20 triệu trả tiền mặt - không được khấu trừ",IF(I5=0,"Chưa nhập doanh số","Hợp lệ"))))</f>
        <v/>
      </c>
    </row>
    <row r="6">
      <c r="A6" s="2" t="n">
        <v>5</v>
      </c>
      <c r="B6" s="3" t="inlineStr">
        <is>
          <t>Đầu ra</t>
        </is>
      </c>
      <c r="C6" s="4" t="n">
        <v>46221</v>
      </c>
      <c r="D6" s="3" t="inlineStr">
        <is>
          <t>1C26TAA</t>
        </is>
      </c>
      <c r="E6" s="3" t="inlineStr">
        <is>
          <t>00001246</t>
        </is>
      </c>
      <c r="F6" s="3" t="inlineStr">
        <is>
          <t>Công ty TNHH Phân phối Đại Việt</t>
        </is>
      </c>
      <c r="G6" s="3" t="inlineStr">
        <is>
          <t>0304556677</t>
        </is>
      </c>
      <c r="H6" s="3" t="inlineStr">
        <is>
          <t>Bán hàng hóa lô tháng 7</t>
        </is>
      </c>
      <c r="I6" s="5" t="n">
        <v>240000000</v>
      </c>
      <c r="J6" s="2" t="n">
        <v>10</v>
      </c>
      <c r="K6" s="3" t="inlineStr">
        <is>
          <t>Chưa thanh toán</t>
        </is>
      </c>
      <c r="L6" s="6">
        <f>IF(E6="","",ROUND(I6*J6/100,0))</f>
        <v/>
      </c>
      <c r="M6" s="6">
        <f>IF(E6="","",I6+L6)</f>
        <v/>
      </c>
      <c r="N6" s="6">
        <f>IF(E6="","",IF(B6="Đầu ra",L6,0))</f>
        <v/>
      </c>
      <c r="O6" s="6">
        <f>IF(E6="","",IF(B6&lt;&gt;"Đầu vào",0,IF(AND(M6&gt;=20000000,K6="Tiền mặt"),0,L6)))</f>
        <v/>
      </c>
      <c r="P6" s="7">
        <f>IF(E6="","",IF(G6="","Thiếu mã số thuế đối tác",IF(AND(B6="Đầu vào",M6&gt;=20000000,K6="Tiền mặt"),"Từ 20 triệu trả tiền mặt - không được khấu trừ",IF(I6=0,"Chưa nhập doanh số","Hợp lệ"))))</f>
        <v/>
      </c>
    </row>
    <row r="7">
      <c r="A7" s="2" t="n">
        <v>6</v>
      </c>
      <c r="B7" s="3" t="inlineStr">
        <is>
          <t>Đầu vào</t>
        </is>
      </c>
      <c r="C7" s="4" t="n">
        <v>46228</v>
      </c>
      <c r="D7" s="3" t="inlineStr">
        <is>
          <t>1C26TEE</t>
        </is>
      </c>
      <c r="E7" s="3" t="inlineStr">
        <is>
          <t>00002210</t>
        </is>
      </c>
      <c r="F7" s="3" t="inlineStr">
        <is>
          <t>Công ty Điện lực khu vực</t>
        </is>
      </c>
      <c r="G7" s="3" t="inlineStr">
        <is>
          <t>0100100079</t>
        </is>
      </c>
      <c r="H7" s="3" t="inlineStr">
        <is>
          <t>Tiền điện tháng 6 nhà xưởng</t>
        </is>
      </c>
      <c r="I7" s="5" t="n">
        <v>32500000</v>
      </c>
      <c r="J7" s="2" t="n">
        <v>8</v>
      </c>
      <c r="K7" s="3" t="inlineStr">
        <is>
          <t>Chuyển khoản</t>
        </is>
      </c>
      <c r="L7" s="6">
        <f>IF(E7="","",ROUND(I7*J7/100,0))</f>
        <v/>
      </c>
      <c r="M7" s="6">
        <f>IF(E7="","",I7+L7)</f>
        <v/>
      </c>
      <c r="N7" s="6">
        <f>IF(E7="","",IF(B7="Đầu ra",L7,0))</f>
        <v/>
      </c>
      <c r="O7" s="6">
        <f>IF(E7="","",IF(B7&lt;&gt;"Đầu vào",0,IF(AND(M7&gt;=20000000,K7="Tiền mặt"),0,L7)))</f>
        <v/>
      </c>
      <c r="P7" s="7">
        <f>IF(E7="","",IF(G7="","Thiếu mã số thuế đối tác",IF(AND(B7="Đầu vào",M7&gt;=20000000,K7="Tiền mặt"),"Từ 20 triệu trả tiền mặt - không được khấu trừ",IF(I7=0,"Chưa nhập doanh số","Hợp lệ"))))</f>
        <v/>
      </c>
    </row>
    <row r="8">
      <c r="A8" s="2" t="n"/>
      <c r="B8" s="3" t="n"/>
      <c r="C8" s="4" t="n"/>
      <c r="D8" s="3" t="n"/>
      <c r="E8" s="3" t="n"/>
      <c r="F8" s="3" t="n"/>
      <c r="G8" s="3" t="n"/>
      <c r="H8" s="3" t="n"/>
      <c r="I8" s="5" t="n"/>
      <c r="J8" s="2" t="n"/>
      <c r="K8" s="3" t="n"/>
      <c r="L8" s="6">
        <f>IF(E8="","",ROUND(I8*J8/100,0))</f>
        <v/>
      </c>
      <c r="M8" s="6">
        <f>IF(E8="","",I8+L8)</f>
        <v/>
      </c>
      <c r="N8" s="6">
        <f>IF(E8="","",IF(B8="Đầu ra",L8,0))</f>
        <v/>
      </c>
      <c r="O8" s="6">
        <f>IF(E8="","",IF(B8&lt;&gt;"Đầu vào",0,IF(AND(M8&gt;=20000000,K8="Tiền mặt"),0,L8)))</f>
        <v/>
      </c>
      <c r="P8" s="7">
        <f>IF(E8="","",IF(G8="","Thiếu mã số thuế đối tác",IF(AND(B8="Đầu vào",M8&gt;=20000000,K8="Tiền mặt"),"Từ 20 triệu trả tiền mặt - không được khấu trừ",IF(I8=0,"Chưa nhập doanh số","Hợp lệ"))))</f>
        <v/>
      </c>
    </row>
    <row r="9">
      <c r="A9" s="2" t="n"/>
      <c r="B9" s="3" t="n"/>
      <c r="C9" s="4" t="n"/>
      <c r="D9" s="3" t="n"/>
      <c r="E9" s="3" t="n"/>
      <c r="F9" s="3" t="n"/>
      <c r="G9" s="3" t="n"/>
      <c r="H9" s="3" t="n"/>
      <c r="I9" s="5" t="n"/>
      <c r="J9" s="2" t="n"/>
      <c r="K9" s="3" t="n"/>
      <c r="L9" s="6">
        <f>IF(E9="","",ROUND(I9*J9/100,0))</f>
        <v/>
      </c>
      <c r="M9" s="6">
        <f>IF(E9="","",I9+L9)</f>
        <v/>
      </c>
      <c r="N9" s="6">
        <f>IF(E9="","",IF(B9="Đầu ra",L9,0))</f>
        <v/>
      </c>
      <c r="O9" s="6">
        <f>IF(E9="","",IF(B9&lt;&gt;"Đầu vào",0,IF(AND(M9&gt;=20000000,K9="Tiền mặt"),0,L9)))</f>
        <v/>
      </c>
      <c r="P9" s="7">
        <f>IF(E9="","",IF(G9="","Thiếu mã số thuế đối tác",IF(AND(B9="Đầu vào",M9&gt;=20000000,K9="Tiền mặt"),"Từ 20 triệu trả tiền mặt - không được khấu trừ",IF(I9=0,"Chưa nhập doanh số","Hợp lệ"))))</f>
        <v/>
      </c>
    </row>
    <row r="10">
      <c r="A10" s="2" t="n"/>
      <c r="B10" s="3" t="n"/>
      <c r="C10" s="4" t="n"/>
      <c r="D10" s="3" t="n"/>
      <c r="E10" s="3" t="n"/>
      <c r="F10" s="3" t="n"/>
      <c r="G10" s="3" t="n"/>
      <c r="H10" s="3" t="n"/>
      <c r="I10" s="5" t="n"/>
      <c r="J10" s="2" t="n"/>
      <c r="K10" s="3" t="n"/>
      <c r="L10" s="6">
        <f>IF(E10="","",ROUND(I10*J10/100,0))</f>
        <v/>
      </c>
      <c r="M10" s="6">
        <f>IF(E10="","",I10+L10)</f>
        <v/>
      </c>
      <c r="N10" s="6">
        <f>IF(E10="","",IF(B10="Đầu ra",L10,0))</f>
        <v/>
      </c>
      <c r="O10" s="6">
        <f>IF(E10="","",IF(B10&lt;&gt;"Đầu vào",0,IF(AND(M10&gt;=20000000,K10="Tiền mặt"),0,L10)))</f>
        <v/>
      </c>
      <c r="P10" s="7">
        <f>IF(E10="","",IF(G10="","Thiếu mã số thuế đối tác",IF(AND(B10="Đầu vào",M10&gt;=20000000,K10="Tiền mặt"),"Từ 20 triệu trả tiền mặt - không được khấu trừ",IF(I10=0,"Chưa nhập doanh số","Hợp lệ"))))</f>
        <v/>
      </c>
    </row>
    <row r="11">
      <c r="A11" s="2" t="n"/>
      <c r="B11" s="3" t="n"/>
      <c r="C11" s="4" t="n"/>
      <c r="D11" s="3" t="n"/>
      <c r="E11" s="3" t="n"/>
      <c r="F11" s="3" t="n"/>
      <c r="G11" s="3" t="n"/>
      <c r="H11" s="3" t="n"/>
      <c r="I11" s="5" t="n"/>
      <c r="J11" s="2" t="n"/>
      <c r="K11" s="3" t="n"/>
      <c r="L11" s="6">
        <f>IF(E11="","",ROUND(I11*J11/100,0))</f>
        <v/>
      </c>
      <c r="M11" s="6">
        <f>IF(E11="","",I11+L11)</f>
        <v/>
      </c>
      <c r="N11" s="6">
        <f>IF(E11="","",IF(B11="Đầu ra",L11,0))</f>
        <v/>
      </c>
      <c r="O11" s="6">
        <f>IF(E11="","",IF(B11&lt;&gt;"Đầu vào",0,IF(AND(M11&gt;=20000000,K11="Tiền mặt"),0,L11)))</f>
        <v/>
      </c>
      <c r="P11" s="7">
        <f>IF(E11="","",IF(G11="","Thiếu mã số thuế đối tác",IF(AND(B11="Đầu vào",M11&gt;=20000000,K11="Tiền mặt"),"Từ 20 triệu trả tiền mặt - không được khấu trừ",IF(I11=0,"Chưa nhập doanh số","Hợp lệ"))))</f>
        <v/>
      </c>
    </row>
    <row r="12">
      <c r="A12" s="2" t="n"/>
      <c r="B12" s="3" t="n"/>
      <c r="C12" s="4" t="n"/>
      <c r="D12" s="3" t="n"/>
      <c r="E12" s="3" t="n"/>
      <c r="F12" s="3" t="n"/>
      <c r="G12" s="3" t="n"/>
      <c r="H12" s="3" t="n"/>
      <c r="I12" s="5" t="n"/>
      <c r="J12" s="2" t="n"/>
      <c r="K12" s="3" t="n"/>
      <c r="L12" s="6">
        <f>IF(E12="","",ROUND(I12*J12/100,0))</f>
        <v/>
      </c>
      <c r="M12" s="6">
        <f>IF(E12="","",I12+L12)</f>
        <v/>
      </c>
      <c r="N12" s="6">
        <f>IF(E12="","",IF(B12="Đầu ra",L12,0))</f>
        <v/>
      </c>
      <c r="O12" s="6">
        <f>IF(E12="","",IF(B12&lt;&gt;"Đầu vào",0,IF(AND(M12&gt;=20000000,K12="Tiền mặt"),0,L12)))</f>
        <v/>
      </c>
      <c r="P12" s="7">
        <f>IF(E12="","",IF(G12="","Thiếu mã số thuế đối tác",IF(AND(B12="Đầu vào",M12&gt;=20000000,K12="Tiền mặt"),"Từ 20 triệu trả tiền mặt - không được khấu trừ",IF(I12=0,"Chưa nhập doanh số","Hợp lệ"))))</f>
        <v/>
      </c>
    </row>
    <row r="13">
      <c r="A13" s="2" t="n"/>
      <c r="B13" s="3" t="n"/>
      <c r="C13" s="4" t="n"/>
      <c r="D13" s="3" t="n"/>
      <c r="E13" s="3" t="n"/>
      <c r="F13" s="3" t="n"/>
      <c r="G13" s="3" t="n"/>
      <c r="H13" s="3" t="n"/>
      <c r="I13" s="5" t="n"/>
      <c r="J13" s="2" t="n"/>
      <c r="K13" s="3" t="n"/>
      <c r="L13" s="6">
        <f>IF(E13="","",ROUND(I13*J13/100,0))</f>
        <v/>
      </c>
      <c r="M13" s="6">
        <f>IF(E13="","",I13+L13)</f>
        <v/>
      </c>
      <c r="N13" s="6">
        <f>IF(E13="","",IF(B13="Đầu ra",L13,0))</f>
        <v/>
      </c>
      <c r="O13" s="6">
        <f>IF(E13="","",IF(B13&lt;&gt;"Đầu vào",0,IF(AND(M13&gt;=20000000,K13="Tiền mặt"),0,L13)))</f>
        <v/>
      </c>
      <c r="P13" s="7">
        <f>IF(E13="","",IF(G13="","Thiếu mã số thuế đối tác",IF(AND(B13="Đầu vào",M13&gt;=20000000,K13="Tiền mặt"),"Từ 20 triệu trả tiền mặt - không được khấu trừ",IF(I13=0,"Chưa nhập doanh số","Hợp lệ"))))</f>
        <v/>
      </c>
    </row>
    <row r="14">
      <c r="A14" s="2" t="n"/>
      <c r="B14" s="3" t="n"/>
      <c r="C14" s="4" t="n"/>
      <c r="D14" s="3" t="n"/>
      <c r="E14" s="3" t="n"/>
      <c r="F14" s="3" t="n"/>
      <c r="G14" s="3" t="n"/>
      <c r="H14" s="3" t="n"/>
      <c r="I14" s="5" t="n"/>
      <c r="J14" s="2" t="n"/>
      <c r="K14" s="3" t="n"/>
      <c r="L14" s="6">
        <f>IF(E14="","",ROUND(I14*J14/100,0))</f>
        <v/>
      </c>
      <c r="M14" s="6">
        <f>IF(E14="","",I14+L14)</f>
        <v/>
      </c>
      <c r="N14" s="6">
        <f>IF(E14="","",IF(B14="Đầu ra",L14,0))</f>
        <v/>
      </c>
      <c r="O14" s="6">
        <f>IF(E14="","",IF(B14&lt;&gt;"Đầu vào",0,IF(AND(M14&gt;=20000000,K14="Tiền mặt"),0,L14)))</f>
        <v/>
      </c>
      <c r="P14" s="7">
        <f>IF(E14="","",IF(G14="","Thiếu mã số thuế đối tác",IF(AND(B14="Đầu vào",M14&gt;=20000000,K14="Tiền mặt"),"Từ 20 triệu trả tiền mặt - không được khấu trừ",IF(I14=0,"Chưa nhập doanh số","Hợp lệ"))))</f>
        <v/>
      </c>
    </row>
    <row r="15">
      <c r="A15" s="2" t="n"/>
      <c r="B15" s="3" t="n"/>
      <c r="C15" s="4" t="n"/>
      <c r="D15" s="3" t="n"/>
      <c r="E15" s="3" t="n"/>
      <c r="F15" s="3" t="n"/>
      <c r="G15" s="3" t="n"/>
      <c r="H15" s="3" t="n"/>
      <c r="I15" s="5" t="n"/>
      <c r="J15" s="2" t="n"/>
      <c r="K15" s="3" t="n"/>
      <c r="L15" s="6">
        <f>IF(E15="","",ROUND(I15*J15/100,0))</f>
        <v/>
      </c>
      <c r="M15" s="6">
        <f>IF(E15="","",I15+L15)</f>
        <v/>
      </c>
      <c r="N15" s="6">
        <f>IF(E15="","",IF(B15="Đầu ra",L15,0))</f>
        <v/>
      </c>
      <c r="O15" s="6">
        <f>IF(E15="","",IF(B15&lt;&gt;"Đầu vào",0,IF(AND(M15&gt;=20000000,K15="Tiền mặt"),0,L15)))</f>
        <v/>
      </c>
      <c r="P15" s="7">
        <f>IF(E15="","",IF(G15="","Thiếu mã số thuế đối tác",IF(AND(B15="Đầu vào",M15&gt;=20000000,K15="Tiền mặt"),"Từ 20 triệu trả tiền mặt - không được khấu trừ",IF(I15=0,"Chưa nhập doanh số","Hợp lệ"))))</f>
        <v/>
      </c>
    </row>
    <row r="16">
      <c r="A16" s="2" t="n"/>
      <c r="B16" s="3" t="n"/>
      <c r="C16" s="4" t="n"/>
      <c r="D16" s="3" t="n"/>
      <c r="E16" s="3" t="n"/>
      <c r="F16" s="3" t="n"/>
      <c r="G16" s="3" t="n"/>
      <c r="H16" s="3" t="n"/>
      <c r="I16" s="5" t="n"/>
      <c r="J16" s="2" t="n"/>
      <c r="K16" s="3" t="n"/>
      <c r="L16" s="6">
        <f>IF(E16="","",ROUND(I16*J16/100,0))</f>
        <v/>
      </c>
      <c r="M16" s="6">
        <f>IF(E16="","",I16+L16)</f>
        <v/>
      </c>
      <c r="N16" s="6">
        <f>IF(E16="","",IF(B16="Đầu ra",L16,0))</f>
        <v/>
      </c>
      <c r="O16" s="6">
        <f>IF(E16="","",IF(B16&lt;&gt;"Đầu vào",0,IF(AND(M16&gt;=20000000,K16="Tiền mặt"),0,L16)))</f>
        <v/>
      </c>
      <c r="P16" s="7">
        <f>IF(E16="","",IF(G16="","Thiếu mã số thuế đối tác",IF(AND(B16="Đầu vào",M16&gt;=20000000,K16="Tiền mặt"),"Từ 20 triệu trả tiền mặt - không được khấu trừ",IF(I16=0,"Chưa nhập doanh số","Hợp lệ"))))</f>
        <v/>
      </c>
    </row>
    <row r="17">
      <c r="A17" s="2" t="n"/>
      <c r="B17" s="3" t="n"/>
      <c r="C17" s="4" t="n"/>
      <c r="D17" s="3" t="n"/>
      <c r="E17" s="3" t="n"/>
      <c r="F17" s="3" t="n"/>
      <c r="G17" s="3" t="n"/>
      <c r="H17" s="3" t="n"/>
      <c r="I17" s="5" t="n"/>
      <c r="J17" s="2" t="n"/>
      <c r="K17" s="3" t="n"/>
      <c r="L17" s="6">
        <f>IF(E17="","",ROUND(I17*J17/100,0))</f>
        <v/>
      </c>
      <c r="M17" s="6">
        <f>IF(E17="","",I17+L17)</f>
        <v/>
      </c>
      <c r="N17" s="6">
        <f>IF(E17="","",IF(B17="Đầu ra",L17,0))</f>
        <v/>
      </c>
      <c r="O17" s="6">
        <f>IF(E17="","",IF(B17&lt;&gt;"Đầu vào",0,IF(AND(M17&gt;=20000000,K17="Tiền mặt"),0,L17)))</f>
        <v/>
      </c>
      <c r="P17" s="7">
        <f>IF(E17="","",IF(G17="","Thiếu mã số thuế đối tác",IF(AND(B17="Đầu vào",M17&gt;=20000000,K17="Tiền mặt"),"Từ 20 triệu trả tiền mặt - không được khấu trừ",IF(I17=0,"Chưa nhập doanh số","Hợp lệ"))))</f>
        <v/>
      </c>
    </row>
    <row r="18">
      <c r="A18" s="2" t="n"/>
      <c r="B18" s="3" t="n"/>
      <c r="C18" s="4" t="n"/>
      <c r="D18" s="3" t="n"/>
      <c r="E18" s="3" t="n"/>
      <c r="F18" s="3" t="n"/>
      <c r="G18" s="3" t="n"/>
      <c r="H18" s="3" t="n"/>
      <c r="I18" s="5" t="n"/>
      <c r="J18" s="2" t="n"/>
      <c r="K18" s="3" t="n"/>
      <c r="L18" s="6">
        <f>IF(E18="","",ROUND(I18*J18/100,0))</f>
        <v/>
      </c>
      <c r="M18" s="6">
        <f>IF(E18="","",I18+L18)</f>
        <v/>
      </c>
      <c r="N18" s="6">
        <f>IF(E18="","",IF(B18="Đầu ra",L18,0))</f>
        <v/>
      </c>
      <c r="O18" s="6">
        <f>IF(E18="","",IF(B18&lt;&gt;"Đầu vào",0,IF(AND(M18&gt;=20000000,K18="Tiền mặt"),0,L18)))</f>
        <v/>
      </c>
      <c r="P18" s="7">
        <f>IF(E18="","",IF(G18="","Thiếu mã số thuế đối tác",IF(AND(B18="Đầu vào",M18&gt;=20000000,K18="Tiền mặt"),"Từ 20 triệu trả tiền mặt - không được khấu trừ",IF(I18=0,"Chưa nhập doanh số","Hợp lệ"))))</f>
        <v/>
      </c>
    </row>
    <row r="19">
      <c r="A19" s="2" t="n"/>
      <c r="B19" s="3" t="n"/>
      <c r="C19" s="4" t="n"/>
      <c r="D19" s="3" t="n"/>
      <c r="E19" s="3" t="n"/>
      <c r="F19" s="3" t="n"/>
      <c r="G19" s="3" t="n"/>
      <c r="H19" s="3" t="n"/>
      <c r="I19" s="5" t="n"/>
      <c r="J19" s="2" t="n"/>
      <c r="K19" s="3" t="n"/>
      <c r="L19" s="6">
        <f>IF(E19="","",ROUND(I19*J19/100,0))</f>
        <v/>
      </c>
      <c r="M19" s="6">
        <f>IF(E19="","",I19+L19)</f>
        <v/>
      </c>
      <c r="N19" s="6">
        <f>IF(E19="","",IF(B19="Đầu ra",L19,0))</f>
        <v/>
      </c>
      <c r="O19" s="6">
        <f>IF(E19="","",IF(B19&lt;&gt;"Đầu vào",0,IF(AND(M19&gt;=20000000,K19="Tiền mặt"),0,L19)))</f>
        <v/>
      </c>
      <c r="P19" s="7">
        <f>IF(E19="","",IF(G19="","Thiếu mã số thuế đối tác",IF(AND(B19="Đầu vào",M19&gt;=20000000,K19="Tiền mặt"),"Từ 20 triệu trả tiền mặt - không được khấu trừ",IF(I19=0,"Chưa nhập doanh số","Hợp lệ"))))</f>
        <v/>
      </c>
    </row>
    <row r="20">
      <c r="A20" s="2" t="n"/>
      <c r="B20" s="3" t="n"/>
      <c r="C20" s="4" t="n"/>
      <c r="D20" s="3" t="n"/>
      <c r="E20" s="3" t="n"/>
      <c r="F20" s="3" t="n"/>
      <c r="G20" s="3" t="n"/>
      <c r="H20" s="3" t="n"/>
      <c r="I20" s="5" t="n"/>
      <c r="J20" s="2" t="n"/>
      <c r="K20" s="3" t="n"/>
      <c r="L20" s="6">
        <f>IF(E20="","",ROUND(I20*J20/100,0))</f>
        <v/>
      </c>
      <c r="M20" s="6">
        <f>IF(E20="","",I20+L20)</f>
        <v/>
      </c>
      <c r="N20" s="6">
        <f>IF(E20="","",IF(B20="Đầu ra",L20,0))</f>
        <v/>
      </c>
      <c r="O20" s="6">
        <f>IF(E20="","",IF(B20&lt;&gt;"Đầu vào",0,IF(AND(M20&gt;=20000000,K20="Tiền mặt"),0,L20)))</f>
        <v/>
      </c>
      <c r="P20" s="7">
        <f>IF(E20="","",IF(G20="","Thiếu mã số thuế đối tác",IF(AND(B20="Đầu vào",M20&gt;=20000000,K20="Tiền mặt"),"Từ 20 triệu trả tiền mặt - không được khấu trừ",IF(I20=0,"Chưa nhập doanh số","Hợp lệ"))))</f>
        <v/>
      </c>
    </row>
    <row r="21">
      <c r="A21" s="2" t="n"/>
      <c r="B21" s="3" t="n"/>
      <c r="C21" s="4" t="n"/>
      <c r="D21" s="3" t="n"/>
      <c r="E21" s="3" t="n"/>
      <c r="F21" s="3" t="n"/>
      <c r="G21" s="3" t="n"/>
      <c r="H21" s="3" t="n"/>
      <c r="I21" s="5" t="n"/>
      <c r="J21" s="2" t="n"/>
      <c r="K21" s="3" t="n"/>
      <c r="L21" s="6">
        <f>IF(E21="","",ROUND(I21*J21/100,0))</f>
        <v/>
      </c>
      <c r="M21" s="6">
        <f>IF(E21="","",I21+L21)</f>
        <v/>
      </c>
      <c r="N21" s="6">
        <f>IF(E21="","",IF(B21="Đầu ra",L21,0))</f>
        <v/>
      </c>
      <c r="O21" s="6">
        <f>IF(E21="","",IF(B21&lt;&gt;"Đầu vào",0,IF(AND(M21&gt;=20000000,K21="Tiền mặt"),0,L21)))</f>
        <v/>
      </c>
      <c r="P21" s="7">
        <f>IF(E21="","",IF(G21="","Thiếu mã số thuế đối tác",IF(AND(B21="Đầu vào",M21&gt;=20000000,K21="Tiền mặt"),"Từ 20 triệu trả tiền mặt - không được khấu trừ",IF(I21=0,"Chưa nhập doanh số","Hợp lệ"))))</f>
        <v/>
      </c>
    </row>
    <row r="22">
      <c r="A22" s="2" t="n"/>
      <c r="B22" s="3" t="n"/>
      <c r="C22" s="4" t="n"/>
      <c r="D22" s="3" t="n"/>
      <c r="E22" s="3" t="n"/>
      <c r="F22" s="3" t="n"/>
      <c r="G22" s="3" t="n"/>
      <c r="H22" s="3" t="n"/>
      <c r="I22" s="5" t="n"/>
      <c r="J22" s="2" t="n"/>
      <c r="K22" s="3" t="n"/>
      <c r="L22" s="6">
        <f>IF(E22="","",ROUND(I22*J22/100,0))</f>
        <v/>
      </c>
      <c r="M22" s="6">
        <f>IF(E22="","",I22+L22)</f>
        <v/>
      </c>
      <c r="N22" s="6">
        <f>IF(E22="","",IF(B22="Đầu ra",L22,0))</f>
        <v/>
      </c>
      <c r="O22" s="6">
        <f>IF(E22="","",IF(B22&lt;&gt;"Đầu vào",0,IF(AND(M22&gt;=20000000,K22="Tiền mặt"),0,L22)))</f>
        <v/>
      </c>
      <c r="P22" s="7">
        <f>IF(E22="","",IF(G22="","Thiếu mã số thuế đối tác",IF(AND(B22="Đầu vào",M22&gt;=20000000,K22="Tiền mặt"),"Từ 20 triệu trả tiền mặt - không được khấu trừ",IF(I22=0,"Chưa nhập doanh số","Hợp lệ"))))</f>
        <v/>
      </c>
    </row>
    <row r="23">
      <c r="A23" s="2" t="n"/>
      <c r="B23" s="3" t="n"/>
      <c r="C23" s="4" t="n"/>
      <c r="D23" s="3" t="n"/>
      <c r="E23" s="3" t="n"/>
      <c r="F23" s="3" t="n"/>
      <c r="G23" s="3" t="n"/>
      <c r="H23" s="3" t="n"/>
      <c r="I23" s="5" t="n"/>
      <c r="J23" s="2" t="n"/>
      <c r="K23" s="3" t="n"/>
      <c r="L23" s="6">
        <f>IF(E23="","",ROUND(I23*J23/100,0))</f>
        <v/>
      </c>
      <c r="M23" s="6">
        <f>IF(E23="","",I23+L23)</f>
        <v/>
      </c>
      <c r="N23" s="6">
        <f>IF(E23="","",IF(B23="Đầu ra",L23,0))</f>
        <v/>
      </c>
      <c r="O23" s="6">
        <f>IF(E23="","",IF(B23&lt;&gt;"Đầu vào",0,IF(AND(M23&gt;=20000000,K23="Tiền mặt"),0,L23)))</f>
        <v/>
      </c>
      <c r="P23" s="7">
        <f>IF(E23="","",IF(G23="","Thiếu mã số thuế đối tác",IF(AND(B23="Đầu vào",M23&gt;=20000000,K23="Tiền mặt"),"Từ 20 triệu trả tiền mặt - không được khấu trừ",IF(I23=0,"Chưa nhập doanh số","Hợp lệ"))))</f>
        <v/>
      </c>
    </row>
    <row r="24">
      <c r="A24" s="2" t="n"/>
      <c r="B24" s="3" t="n"/>
      <c r="C24" s="4" t="n"/>
      <c r="D24" s="3" t="n"/>
      <c r="E24" s="3" t="n"/>
      <c r="F24" s="3" t="n"/>
      <c r="G24" s="3" t="n"/>
      <c r="H24" s="3" t="n"/>
      <c r="I24" s="5" t="n"/>
      <c r="J24" s="2" t="n"/>
      <c r="K24" s="3" t="n"/>
      <c r="L24" s="6">
        <f>IF(E24="","",ROUND(I24*J24/100,0))</f>
        <v/>
      </c>
      <c r="M24" s="6">
        <f>IF(E24="","",I24+L24)</f>
        <v/>
      </c>
      <c r="N24" s="6">
        <f>IF(E24="","",IF(B24="Đầu ra",L24,0))</f>
        <v/>
      </c>
      <c r="O24" s="6">
        <f>IF(E24="","",IF(B24&lt;&gt;"Đầu vào",0,IF(AND(M24&gt;=20000000,K24="Tiền mặt"),0,L24)))</f>
        <v/>
      </c>
      <c r="P24" s="7">
        <f>IF(E24="","",IF(G24="","Thiếu mã số thuế đối tác",IF(AND(B24="Đầu vào",M24&gt;=20000000,K24="Tiền mặt"),"Từ 20 triệu trả tiền mặt - không được khấu trừ",IF(I24=0,"Chưa nhập doanh số","Hợp lệ"))))</f>
        <v/>
      </c>
    </row>
    <row r="25">
      <c r="A25" s="2" t="n"/>
      <c r="B25" s="3" t="n"/>
      <c r="C25" s="4" t="n"/>
      <c r="D25" s="3" t="n"/>
      <c r="E25" s="3" t="n"/>
      <c r="F25" s="3" t="n"/>
      <c r="G25" s="3" t="n"/>
      <c r="H25" s="3" t="n"/>
      <c r="I25" s="5" t="n"/>
      <c r="J25" s="2" t="n"/>
      <c r="K25" s="3" t="n"/>
      <c r="L25" s="6">
        <f>IF(E25="","",ROUND(I25*J25/100,0))</f>
        <v/>
      </c>
      <c r="M25" s="6">
        <f>IF(E25="","",I25+L25)</f>
        <v/>
      </c>
      <c r="N25" s="6">
        <f>IF(E25="","",IF(B25="Đầu ra",L25,0))</f>
        <v/>
      </c>
      <c r="O25" s="6">
        <f>IF(E25="","",IF(B25&lt;&gt;"Đầu vào",0,IF(AND(M25&gt;=20000000,K25="Tiền mặt"),0,L25)))</f>
        <v/>
      </c>
      <c r="P25" s="7">
        <f>IF(E25="","",IF(G25="","Thiếu mã số thuế đối tác",IF(AND(B25="Đầu vào",M25&gt;=20000000,K25="Tiền mặt"),"Từ 20 triệu trả tiền mặt - không được khấu trừ",IF(I25=0,"Chưa nhập doanh số","Hợp lệ"))))</f>
        <v/>
      </c>
    </row>
    <row r="26">
      <c r="A26" s="2" t="n"/>
      <c r="B26" s="3" t="n"/>
      <c r="C26" s="4" t="n"/>
      <c r="D26" s="3" t="n"/>
      <c r="E26" s="3" t="n"/>
      <c r="F26" s="3" t="n"/>
      <c r="G26" s="3" t="n"/>
      <c r="H26" s="3" t="n"/>
      <c r="I26" s="5" t="n"/>
      <c r="J26" s="2" t="n"/>
      <c r="K26" s="3" t="n"/>
      <c r="L26" s="6">
        <f>IF(E26="","",ROUND(I26*J26/100,0))</f>
        <v/>
      </c>
      <c r="M26" s="6">
        <f>IF(E26="","",I26+L26)</f>
        <v/>
      </c>
      <c r="N26" s="6">
        <f>IF(E26="","",IF(B26="Đầu ra",L26,0))</f>
        <v/>
      </c>
      <c r="O26" s="6">
        <f>IF(E26="","",IF(B26&lt;&gt;"Đầu vào",0,IF(AND(M26&gt;=20000000,K26="Tiền mặt"),0,L26)))</f>
        <v/>
      </c>
      <c r="P26" s="7">
        <f>IF(E26="","",IF(G26="","Thiếu mã số thuế đối tác",IF(AND(B26="Đầu vào",M26&gt;=20000000,K26="Tiền mặt"),"Từ 20 triệu trả tiền mặt - không được khấu trừ",IF(I26=0,"Chưa nhập doanh số","Hợp lệ"))))</f>
        <v/>
      </c>
    </row>
    <row r="27">
      <c r="A27" s="2" t="n"/>
      <c r="B27" s="3" t="n"/>
      <c r="C27" s="4" t="n"/>
      <c r="D27" s="3" t="n"/>
      <c r="E27" s="3" t="n"/>
      <c r="F27" s="3" t="n"/>
      <c r="G27" s="3" t="n"/>
      <c r="H27" s="3" t="n"/>
      <c r="I27" s="5" t="n"/>
      <c r="J27" s="2" t="n"/>
      <c r="K27" s="3" t="n"/>
      <c r="L27" s="6">
        <f>IF(E27="","",ROUND(I27*J27/100,0))</f>
        <v/>
      </c>
      <c r="M27" s="6">
        <f>IF(E27="","",I27+L27)</f>
        <v/>
      </c>
      <c r="N27" s="6">
        <f>IF(E27="","",IF(B27="Đầu ra",L27,0))</f>
        <v/>
      </c>
      <c r="O27" s="6">
        <f>IF(E27="","",IF(B27&lt;&gt;"Đầu vào",0,IF(AND(M27&gt;=20000000,K27="Tiền mặt"),0,L27)))</f>
        <v/>
      </c>
      <c r="P27" s="7">
        <f>IF(E27="","",IF(G27="","Thiếu mã số thuế đối tác",IF(AND(B27="Đầu vào",M27&gt;=20000000,K27="Tiền mặt"),"Từ 20 triệu trả tiền mặt - không được khấu trừ",IF(I27=0,"Chưa nhập doanh số","Hợp lệ"))))</f>
        <v/>
      </c>
    </row>
    <row r="28">
      <c r="A28" s="2" t="n"/>
      <c r="B28" s="3" t="n"/>
      <c r="C28" s="4" t="n"/>
      <c r="D28" s="3" t="n"/>
      <c r="E28" s="3" t="n"/>
      <c r="F28" s="3" t="n"/>
      <c r="G28" s="3" t="n"/>
      <c r="H28" s="3" t="n"/>
      <c r="I28" s="5" t="n"/>
      <c r="J28" s="2" t="n"/>
      <c r="K28" s="3" t="n"/>
      <c r="L28" s="6">
        <f>IF(E28="","",ROUND(I28*J28/100,0))</f>
        <v/>
      </c>
      <c r="M28" s="6">
        <f>IF(E28="","",I28+L28)</f>
        <v/>
      </c>
      <c r="N28" s="6">
        <f>IF(E28="","",IF(B28="Đầu ra",L28,0))</f>
        <v/>
      </c>
      <c r="O28" s="6">
        <f>IF(E28="","",IF(B28&lt;&gt;"Đầu vào",0,IF(AND(M28&gt;=20000000,K28="Tiền mặt"),0,L28)))</f>
        <v/>
      </c>
      <c r="P28" s="7">
        <f>IF(E28="","",IF(G28="","Thiếu mã số thuế đối tác",IF(AND(B28="Đầu vào",M28&gt;=20000000,K28="Tiền mặt"),"Từ 20 triệu trả tiền mặt - không được khấu trừ",IF(I28=0,"Chưa nhập doanh số","Hợp lệ"))))</f>
        <v/>
      </c>
    </row>
    <row r="29">
      <c r="A29" s="2" t="n"/>
      <c r="B29" s="3" t="n"/>
      <c r="C29" s="4" t="n"/>
      <c r="D29" s="3" t="n"/>
      <c r="E29" s="3" t="n"/>
      <c r="F29" s="3" t="n"/>
      <c r="G29" s="3" t="n"/>
      <c r="H29" s="3" t="n"/>
      <c r="I29" s="5" t="n"/>
      <c r="J29" s="2" t="n"/>
      <c r="K29" s="3" t="n"/>
      <c r="L29" s="6">
        <f>IF(E29="","",ROUND(I29*J29/100,0))</f>
        <v/>
      </c>
      <c r="M29" s="6">
        <f>IF(E29="","",I29+L29)</f>
        <v/>
      </c>
      <c r="N29" s="6">
        <f>IF(E29="","",IF(B29="Đầu ra",L29,0))</f>
        <v/>
      </c>
      <c r="O29" s="6">
        <f>IF(E29="","",IF(B29&lt;&gt;"Đầu vào",0,IF(AND(M29&gt;=20000000,K29="Tiền mặt"),0,L29)))</f>
        <v/>
      </c>
      <c r="P29" s="7">
        <f>IF(E29="","",IF(G29="","Thiếu mã số thuế đối tác",IF(AND(B29="Đầu vào",M29&gt;=20000000,K29="Tiền mặt"),"Từ 20 triệu trả tiền mặt - không được khấu trừ",IF(I29=0,"Chưa nhập doanh số","Hợp lệ"))))</f>
        <v/>
      </c>
    </row>
    <row r="30">
      <c r="A30" s="2" t="n"/>
      <c r="B30" s="3" t="n"/>
      <c r="C30" s="4" t="n"/>
      <c r="D30" s="3" t="n"/>
      <c r="E30" s="3" t="n"/>
      <c r="F30" s="3" t="n"/>
      <c r="G30" s="3" t="n"/>
      <c r="H30" s="3" t="n"/>
      <c r="I30" s="5" t="n"/>
      <c r="J30" s="2" t="n"/>
      <c r="K30" s="3" t="n"/>
      <c r="L30" s="6">
        <f>IF(E30="","",ROUND(I30*J30/100,0))</f>
        <v/>
      </c>
      <c r="M30" s="6">
        <f>IF(E30="","",I30+L30)</f>
        <v/>
      </c>
      <c r="N30" s="6">
        <f>IF(E30="","",IF(B30="Đầu ra",L30,0))</f>
        <v/>
      </c>
      <c r="O30" s="6">
        <f>IF(E30="","",IF(B30&lt;&gt;"Đầu vào",0,IF(AND(M30&gt;=20000000,K30="Tiền mặt"),0,L30)))</f>
        <v/>
      </c>
      <c r="P30" s="7">
        <f>IF(E30="","",IF(G30="","Thiếu mã số thuế đối tác",IF(AND(B30="Đầu vào",M30&gt;=20000000,K30="Tiền mặt"),"Từ 20 triệu trả tiền mặt - không được khấu trừ",IF(I30=0,"Chưa nhập doanh số","Hợp lệ"))))</f>
        <v/>
      </c>
    </row>
    <row r="31">
      <c r="A31" s="2" t="n"/>
      <c r="B31" s="3" t="n"/>
      <c r="C31" s="4" t="n"/>
      <c r="D31" s="3" t="n"/>
      <c r="E31" s="3" t="n"/>
      <c r="F31" s="3" t="n"/>
      <c r="G31" s="3" t="n"/>
      <c r="H31" s="3" t="n"/>
      <c r="I31" s="5" t="n"/>
      <c r="J31" s="2" t="n"/>
      <c r="K31" s="3" t="n"/>
      <c r="L31" s="6">
        <f>IF(E31="","",ROUND(I31*J31/100,0))</f>
        <v/>
      </c>
      <c r="M31" s="6">
        <f>IF(E31="","",I31+L31)</f>
        <v/>
      </c>
      <c r="N31" s="6">
        <f>IF(E31="","",IF(B31="Đầu ra",L31,0))</f>
        <v/>
      </c>
      <c r="O31" s="6">
        <f>IF(E31="","",IF(B31&lt;&gt;"Đầu vào",0,IF(AND(M31&gt;=20000000,K31="Tiền mặt"),0,L31)))</f>
        <v/>
      </c>
      <c r="P31" s="7">
        <f>IF(E31="","",IF(G31="","Thiếu mã số thuế đối tác",IF(AND(B31="Đầu vào",M31&gt;=20000000,K31="Tiền mặt"),"Từ 20 triệu trả tiền mặt - không được khấu trừ",IF(I31=0,"Chưa nhập doanh số","Hợp lệ"))))</f>
        <v/>
      </c>
    </row>
    <row r="32">
      <c r="A32" s="2" t="n"/>
      <c r="B32" s="3" t="n"/>
      <c r="C32" s="4" t="n"/>
      <c r="D32" s="3" t="n"/>
      <c r="E32" s="3" t="n"/>
      <c r="F32" s="3" t="n"/>
      <c r="G32" s="3" t="n"/>
      <c r="H32" s="3" t="n"/>
      <c r="I32" s="5" t="n"/>
      <c r="J32" s="2" t="n"/>
      <c r="K32" s="3" t="n"/>
      <c r="L32" s="6">
        <f>IF(E32="","",ROUND(I32*J32/100,0))</f>
        <v/>
      </c>
      <c r="M32" s="6">
        <f>IF(E32="","",I32+L32)</f>
        <v/>
      </c>
      <c r="N32" s="6">
        <f>IF(E32="","",IF(B32="Đầu ra",L32,0))</f>
        <v/>
      </c>
      <c r="O32" s="6">
        <f>IF(E32="","",IF(B32&lt;&gt;"Đầu vào",0,IF(AND(M32&gt;=20000000,K32="Tiền mặt"),0,L32)))</f>
        <v/>
      </c>
      <c r="P32" s="7">
        <f>IF(E32="","",IF(G32="","Thiếu mã số thuế đối tác",IF(AND(B32="Đầu vào",M32&gt;=20000000,K32="Tiền mặt"),"Từ 20 triệu trả tiền mặt - không được khấu trừ",IF(I32=0,"Chưa nhập doanh số","Hợp lệ"))))</f>
        <v/>
      </c>
    </row>
    <row r="33">
      <c r="A33" s="2" t="n"/>
      <c r="B33" s="3" t="n"/>
      <c r="C33" s="4" t="n"/>
      <c r="D33" s="3" t="n"/>
      <c r="E33" s="3" t="n"/>
      <c r="F33" s="3" t="n"/>
      <c r="G33" s="3" t="n"/>
      <c r="H33" s="3" t="n"/>
      <c r="I33" s="5" t="n"/>
      <c r="J33" s="2" t="n"/>
      <c r="K33" s="3" t="n"/>
      <c r="L33" s="6">
        <f>IF(E33="","",ROUND(I33*J33/100,0))</f>
        <v/>
      </c>
      <c r="M33" s="6">
        <f>IF(E33="","",I33+L33)</f>
        <v/>
      </c>
      <c r="N33" s="6">
        <f>IF(E33="","",IF(B33="Đầu ra",L33,0))</f>
        <v/>
      </c>
      <c r="O33" s="6">
        <f>IF(E33="","",IF(B33&lt;&gt;"Đầu vào",0,IF(AND(M33&gt;=20000000,K33="Tiền mặt"),0,L33)))</f>
        <v/>
      </c>
      <c r="P33" s="7">
        <f>IF(E33="","",IF(G33="","Thiếu mã số thuế đối tác",IF(AND(B33="Đầu vào",M33&gt;=20000000,K33="Tiền mặt"),"Từ 20 triệu trả tiền mặt - không được khấu trừ",IF(I33=0,"Chưa nhập doanh số","Hợp lệ"))))</f>
        <v/>
      </c>
    </row>
    <row r="34">
      <c r="A34" s="2" t="n"/>
      <c r="B34" s="3" t="n"/>
      <c r="C34" s="4" t="n"/>
      <c r="D34" s="3" t="n"/>
      <c r="E34" s="3" t="n"/>
      <c r="F34" s="3" t="n"/>
      <c r="G34" s="3" t="n"/>
      <c r="H34" s="3" t="n"/>
      <c r="I34" s="5" t="n"/>
      <c r="J34" s="2" t="n"/>
      <c r="K34" s="3" t="n"/>
      <c r="L34" s="6">
        <f>IF(E34="","",ROUND(I34*J34/100,0))</f>
        <v/>
      </c>
      <c r="M34" s="6">
        <f>IF(E34="","",I34+L34)</f>
        <v/>
      </c>
      <c r="N34" s="6">
        <f>IF(E34="","",IF(B34="Đầu ra",L34,0))</f>
        <v/>
      </c>
      <c r="O34" s="6">
        <f>IF(E34="","",IF(B34&lt;&gt;"Đầu vào",0,IF(AND(M34&gt;=20000000,K34="Tiền mặt"),0,L34)))</f>
        <v/>
      </c>
      <c r="P34" s="7">
        <f>IF(E34="","",IF(G34="","Thiếu mã số thuế đối tác",IF(AND(B34="Đầu vào",M34&gt;=20000000,K34="Tiền mặt"),"Từ 20 triệu trả tiền mặt - không được khấu trừ",IF(I34=0,"Chưa nhập doanh số","Hợp lệ"))))</f>
        <v/>
      </c>
    </row>
    <row r="35">
      <c r="A35" s="2" t="n"/>
      <c r="B35" s="3" t="n"/>
      <c r="C35" s="4" t="n"/>
      <c r="D35" s="3" t="n"/>
      <c r="E35" s="3" t="n"/>
      <c r="F35" s="3" t="n"/>
      <c r="G35" s="3" t="n"/>
      <c r="H35" s="3" t="n"/>
      <c r="I35" s="5" t="n"/>
      <c r="J35" s="2" t="n"/>
      <c r="K35" s="3" t="n"/>
      <c r="L35" s="6">
        <f>IF(E35="","",ROUND(I35*J35/100,0))</f>
        <v/>
      </c>
      <c r="M35" s="6">
        <f>IF(E35="","",I35+L35)</f>
        <v/>
      </c>
      <c r="N35" s="6">
        <f>IF(E35="","",IF(B35="Đầu ra",L35,0))</f>
        <v/>
      </c>
      <c r="O35" s="6">
        <f>IF(E35="","",IF(B35&lt;&gt;"Đầu vào",0,IF(AND(M35&gt;=20000000,K35="Tiền mặt"),0,L35)))</f>
        <v/>
      </c>
      <c r="P35" s="7">
        <f>IF(E35="","",IF(G35="","Thiếu mã số thuế đối tác",IF(AND(B35="Đầu vào",M35&gt;=20000000,K35="Tiền mặt"),"Từ 20 triệu trả tiền mặt - không được khấu trừ",IF(I35=0,"Chưa nhập doanh số","Hợp lệ"))))</f>
        <v/>
      </c>
    </row>
    <row r="36">
      <c r="A36" s="2" t="n"/>
      <c r="B36" s="3" t="n"/>
      <c r="C36" s="4" t="n"/>
      <c r="D36" s="3" t="n"/>
      <c r="E36" s="3" t="n"/>
      <c r="F36" s="3" t="n"/>
      <c r="G36" s="3" t="n"/>
      <c r="H36" s="3" t="n"/>
      <c r="I36" s="5" t="n"/>
      <c r="J36" s="2" t="n"/>
      <c r="K36" s="3" t="n"/>
      <c r="L36" s="6">
        <f>IF(E36="","",ROUND(I36*J36/100,0))</f>
        <v/>
      </c>
      <c r="M36" s="6">
        <f>IF(E36="","",I36+L36)</f>
        <v/>
      </c>
      <c r="N36" s="6">
        <f>IF(E36="","",IF(B36="Đầu ra",L36,0))</f>
        <v/>
      </c>
      <c r="O36" s="6">
        <f>IF(E36="","",IF(B36&lt;&gt;"Đầu vào",0,IF(AND(M36&gt;=20000000,K36="Tiền mặt"),0,L36)))</f>
        <v/>
      </c>
      <c r="P36" s="7">
        <f>IF(E36="","",IF(G36="","Thiếu mã số thuế đối tác",IF(AND(B36="Đầu vào",M36&gt;=20000000,K36="Tiền mặt"),"Từ 20 triệu trả tiền mặt - không được khấu trừ",IF(I36=0,"Chưa nhập doanh số","Hợp lệ"))))</f>
        <v/>
      </c>
    </row>
    <row r="37">
      <c r="A37" s="2" t="n"/>
      <c r="B37" s="3" t="n"/>
      <c r="C37" s="4" t="n"/>
      <c r="D37" s="3" t="n"/>
      <c r="E37" s="3" t="n"/>
      <c r="F37" s="3" t="n"/>
      <c r="G37" s="3" t="n"/>
      <c r="H37" s="3" t="n"/>
      <c r="I37" s="5" t="n"/>
      <c r="J37" s="2" t="n"/>
      <c r="K37" s="3" t="n"/>
      <c r="L37" s="6">
        <f>IF(E37="","",ROUND(I37*J37/100,0))</f>
        <v/>
      </c>
      <c r="M37" s="6">
        <f>IF(E37="","",I37+L37)</f>
        <v/>
      </c>
      <c r="N37" s="6">
        <f>IF(E37="","",IF(B37="Đầu ra",L37,0))</f>
        <v/>
      </c>
      <c r="O37" s="6">
        <f>IF(E37="","",IF(B37&lt;&gt;"Đầu vào",0,IF(AND(M37&gt;=20000000,K37="Tiền mặt"),0,L37)))</f>
        <v/>
      </c>
      <c r="P37" s="7">
        <f>IF(E37="","",IF(G37="","Thiếu mã số thuế đối tác",IF(AND(B37="Đầu vào",M37&gt;=20000000,K37="Tiền mặt"),"Từ 20 triệu trả tiền mặt - không được khấu trừ",IF(I37=0,"Chưa nhập doanh số","Hợp lệ"))))</f>
        <v/>
      </c>
    </row>
    <row r="38">
      <c r="A38" s="2" t="n"/>
      <c r="B38" s="3" t="n"/>
      <c r="C38" s="4" t="n"/>
      <c r="D38" s="3" t="n"/>
      <c r="E38" s="3" t="n"/>
      <c r="F38" s="3" t="n"/>
      <c r="G38" s="3" t="n"/>
      <c r="H38" s="3" t="n"/>
      <c r="I38" s="5" t="n"/>
      <c r="J38" s="2" t="n"/>
      <c r="K38" s="3" t="n"/>
      <c r="L38" s="6">
        <f>IF(E38="","",ROUND(I38*J38/100,0))</f>
        <v/>
      </c>
      <c r="M38" s="6">
        <f>IF(E38="","",I38+L38)</f>
        <v/>
      </c>
      <c r="N38" s="6">
        <f>IF(E38="","",IF(B38="Đầu ra",L38,0))</f>
        <v/>
      </c>
      <c r="O38" s="6">
        <f>IF(E38="","",IF(B38&lt;&gt;"Đầu vào",0,IF(AND(M38&gt;=20000000,K38="Tiền mặt"),0,L38)))</f>
        <v/>
      </c>
      <c r="P38" s="7">
        <f>IF(E38="","",IF(G38="","Thiếu mã số thuế đối tác",IF(AND(B38="Đầu vào",M38&gt;=20000000,K38="Tiền mặt"),"Từ 20 triệu trả tiền mặt - không được khấu trừ",IF(I38=0,"Chưa nhập doanh số","Hợp lệ"))))</f>
        <v/>
      </c>
    </row>
    <row r="39">
      <c r="A39" s="2" t="n"/>
      <c r="B39" s="3" t="n"/>
      <c r="C39" s="4" t="n"/>
      <c r="D39" s="3" t="n"/>
      <c r="E39" s="3" t="n"/>
      <c r="F39" s="3" t="n"/>
      <c r="G39" s="3" t="n"/>
      <c r="H39" s="3" t="n"/>
      <c r="I39" s="5" t="n"/>
      <c r="J39" s="2" t="n"/>
      <c r="K39" s="3" t="n"/>
      <c r="L39" s="6">
        <f>IF(E39="","",ROUND(I39*J39/100,0))</f>
        <v/>
      </c>
      <c r="M39" s="6">
        <f>IF(E39="","",I39+L39)</f>
        <v/>
      </c>
      <c r="N39" s="6">
        <f>IF(E39="","",IF(B39="Đầu ra",L39,0))</f>
        <v/>
      </c>
      <c r="O39" s="6">
        <f>IF(E39="","",IF(B39&lt;&gt;"Đầu vào",0,IF(AND(M39&gt;=20000000,K39="Tiền mặt"),0,L39)))</f>
        <v/>
      </c>
      <c r="P39" s="7">
        <f>IF(E39="","",IF(G39="","Thiếu mã số thuế đối tác",IF(AND(B39="Đầu vào",M39&gt;=20000000,K39="Tiền mặt"),"Từ 20 triệu trả tiền mặt - không được khấu trừ",IF(I39=0,"Chưa nhập doanh số","Hợp lệ"))))</f>
        <v/>
      </c>
    </row>
    <row r="40">
      <c r="A40" s="2" t="n"/>
      <c r="B40" s="3" t="n"/>
      <c r="C40" s="4" t="n"/>
      <c r="D40" s="3" t="n"/>
      <c r="E40" s="3" t="n"/>
      <c r="F40" s="3" t="n"/>
      <c r="G40" s="3" t="n"/>
      <c r="H40" s="3" t="n"/>
      <c r="I40" s="5" t="n"/>
      <c r="J40" s="2" t="n"/>
      <c r="K40" s="3" t="n"/>
      <c r="L40" s="6">
        <f>IF(E40="","",ROUND(I40*J40/100,0))</f>
        <v/>
      </c>
      <c r="M40" s="6">
        <f>IF(E40="","",I40+L40)</f>
        <v/>
      </c>
      <c r="N40" s="6">
        <f>IF(E40="","",IF(B40="Đầu ra",L40,0))</f>
        <v/>
      </c>
      <c r="O40" s="6">
        <f>IF(E40="","",IF(B40&lt;&gt;"Đầu vào",0,IF(AND(M40&gt;=20000000,K40="Tiền mặt"),0,L40)))</f>
        <v/>
      </c>
      <c r="P40" s="7">
        <f>IF(E40="","",IF(G40="","Thiếu mã số thuế đối tác",IF(AND(B40="Đầu vào",M40&gt;=20000000,K40="Tiền mặt"),"Từ 20 triệu trả tiền mặt - không được khấu trừ",IF(I40=0,"Chưa nhập doanh số","Hợp lệ"))))</f>
        <v/>
      </c>
    </row>
    <row r="41">
      <c r="A41" s="2" t="n"/>
      <c r="B41" s="3" t="n"/>
      <c r="C41" s="4" t="n"/>
      <c r="D41" s="3" t="n"/>
      <c r="E41" s="3" t="n"/>
      <c r="F41" s="3" t="n"/>
      <c r="G41" s="3" t="n"/>
      <c r="H41" s="3" t="n"/>
      <c r="I41" s="5" t="n"/>
      <c r="J41" s="2" t="n"/>
      <c r="K41" s="3" t="n"/>
      <c r="L41" s="6">
        <f>IF(E41="","",ROUND(I41*J41/100,0))</f>
        <v/>
      </c>
      <c r="M41" s="6">
        <f>IF(E41="","",I41+L41)</f>
        <v/>
      </c>
      <c r="N41" s="6">
        <f>IF(E41="","",IF(B41="Đầu ra",L41,0))</f>
        <v/>
      </c>
      <c r="O41" s="6">
        <f>IF(E41="","",IF(B41&lt;&gt;"Đầu vào",0,IF(AND(M41&gt;=20000000,K41="Tiền mặt"),0,L41)))</f>
        <v/>
      </c>
      <c r="P41" s="7">
        <f>IF(E41="","",IF(G41="","Thiếu mã số thuế đối tác",IF(AND(B41="Đầu vào",M41&gt;=20000000,K41="Tiền mặt"),"Từ 20 triệu trả tiền mặt - không được khấu trừ",IF(I41=0,"Chưa nhập doanh số","Hợp lệ"))))</f>
        <v/>
      </c>
    </row>
    <row r="42">
      <c r="A42" s="2" t="n"/>
      <c r="B42" s="3" t="n"/>
      <c r="C42" s="4" t="n"/>
      <c r="D42" s="3" t="n"/>
      <c r="E42" s="3" t="n"/>
      <c r="F42" s="3" t="n"/>
      <c r="G42" s="3" t="n"/>
      <c r="H42" s="3" t="n"/>
      <c r="I42" s="5" t="n"/>
      <c r="J42" s="2" t="n"/>
      <c r="K42" s="3" t="n"/>
      <c r="L42" s="6">
        <f>IF(E42="","",ROUND(I42*J42/100,0))</f>
        <v/>
      </c>
      <c r="M42" s="6">
        <f>IF(E42="","",I42+L42)</f>
        <v/>
      </c>
      <c r="N42" s="6">
        <f>IF(E42="","",IF(B42="Đầu ra",L42,0))</f>
        <v/>
      </c>
      <c r="O42" s="6">
        <f>IF(E42="","",IF(B42&lt;&gt;"Đầu vào",0,IF(AND(M42&gt;=20000000,K42="Tiền mặt"),0,L42)))</f>
        <v/>
      </c>
      <c r="P42" s="7">
        <f>IF(E42="","",IF(G42="","Thiếu mã số thuế đối tác",IF(AND(B42="Đầu vào",M42&gt;=20000000,K42="Tiền mặt"),"Từ 20 triệu trả tiền mặt - không được khấu trừ",IF(I42=0,"Chưa nhập doanh số","Hợp lệ"))))</f>
        <v/>
      </c>
    </row>
    <row r="43">
      <c r="A43" s="2" t="n"/>
      <c r="B43" s="3" t="n"/>
      <c r="C43" s="4" t="n"/>
      <c r="D43" s="3" t="n"/>
      <c r="E43" s="3" t="n"/>
      <c r="F43" s="3" t="n"/>
      <c r="G43" s="3" t="n"/>
      <c r="H43" s="3" t="n"/>
      <c r="I43" s="5" t="n"/>
      <c r="J43" s="2" t="n"/>
      <c r="K43" s="3" t="n"/>
      <c r="L43" s="6">
        <f>IF(E43="","",ROUND(I43*J43/100,0))</f>
        <v/>
      </c>
      <c r="M43" s="6">
        <f>IF(E43="","",I43+L43)</f>
        <v/>
      </c>
      <c r="N43" s="6">
        <f>IF(E43="","",IF(B43="Đầu ra",L43,0))</f>
        <v/>
      </c>
      <c r="O43" s="6">
        <f>IF(E43="","",IF(B43&lt;&gt;"Đầu vào",0,IF(AND(M43&gt;=20000000,K43="Tiền mặt"),0,L43)))</f>
        <v/>
      </c>
      <c r="P43" s="7">
        <f>IF(E43="","",IF(G43="","Thiếu mã số thuế đối tác",IF(AND(B43="Đầu vào",M43&gt;=20000000,K43="Tiền mặt"),"Từ 20 triệu trả tiền mặt - không được khấu trừ",IF(I43=0,"Chưa nhập doanh số","Hợp lệ"))))</f>
        <v/>
      </c>
    </row>
    <row r="44">
      <c r="A44" s="2" t="n"/>
      <c r="B44" s="3" t="n"/>
      <c r="C44" s="4" t="n"/>
      <c r="D44" s="3" t="n"/>
      <c r="E44" s="3" t="n"/>
      <c r="F44" s="3" t="n"/>
      <c r="G44" s="3" t="n"/>
      <c r="H44" s="3" t="n"/>
      <c r="I44" s="5" t="n"/>
      <c r="J44" s="2" t="n"/>
      <c r="K44" s="3" t="n"/>
      <c r="L44" s="6">
        <f>IF(E44="","",ROUND(I44*J44/100,0))</f>
        <v/>
      </c>
      <c r="M44" s="6">
        <f>IF(E44="","",I44+L44)</f>
        <v/>
      </c>
      <c r="N44" s="6">
        <f>IF(E44="","",IF(B44="Đầu ra",L44,0))</f>
        <v/>
      </c>
      <c r="O44" s="6">
        <f>IF(E44="","",IF(B44&lt;&gt;"Đầu vào",0,IF(AND(M44&gt;=20000000,K44="Tiền mặt"),0,L44)))</f>
        <v/>
      </c>
      <c r="P44" s="7">
        <f>IF(E44="","",IF(G44="","Thiếu mã số thuế đối tác",IF(AND(B44="Đầu vào",M44&gt;=20000000,K44="Tiền mặt"),"Từ 20 triệu trả tiền mặt - không được khấu trừ",IF(I44=0,"Chưa nhập doanh số","Hợp lệ"))))</f>
        <v/>
      </c>
    </row>
    <row r="45">
      <c r="A45" s="2" t="n"/>
      <c r="B45" s="3" t="n"/>
      <c r="C45" s="4" t="n"/>
      <c r="D45" s="3" t="n"/>
      <c r="E45" s="3" t="n"/>
      <c r="F45" s="3" t="n"/>
      <c r="G45" s="3" t="n"/>
      <c r="H45" s="3" t="n"/>
      <c r="I45" s="5" t="n"/>
      <c r="J45" s="2" t="n"/>
      <c r="K45" s="3" t="n"/>
      <c r="L45" s="6">
        <f>IF(E45="","",ROUND(I45*J45/100,0))</f>
        <v/>
      </c>
      <c r="M45" s="6">
        <f>IF(E45="","",I45+L45)</f>
        <v/>
      </c>
      <c r="N45" s="6">
        <f>IF(E45="","",IF(B45="Đầu ra",L45,0))</f>
        <v/>
      </c>
      <c r="O45" s="6">
        <f>IF(E45="","",IF(B45&lt;&gt;"Đầu vào",0,IF(AND(M45&gt;=20000000,K45="Tiền mặt"),0,L45)))</f>
        <v/>
      </c>
      <c r="P45" s="7">
        <f>IF(E45="","",IF(G45="","Thiếu mã số thuế đối tác",IF(AND(B45="Đầu vào",M45&gt;=20000000,K45="Tiền mặt"),"Từ 20 triệu trả tiền mặt - không được khấu trừ",IF(I45=0,"Chưa nhập doanh số","Hợp lệ"))))</f>
        <v/>
      </c>
    </row>
    <row r="46">
      <c r="A46" s="2" t="n"/>
      <c r="B46" s="3" t="n"/>
      <c r="C46" s="4" t="n"/>
      <c r="D46" s="3" t="n"/>
      <c r="E46" s="3" t="n"/>
      <c r="F46" s="3" t="n"/>
      <c r="G46" s="3" t="n"/>
      <c r="H46" s="3" t="n"/>
      <c r="I46" s="5" t="n"/>
      <c r="J46" s="2" t="n"/>
      <c r="K46" s="3" t="n"/>
      <c r="L46" s="6">
        <f>IF(E46="","",ROUND(I46*J46/100,0))</f>
        <v/>
      </c>
      <c r="M46" s="6">
        <f>IF(E46="","",I46+L46)</f>
        <v/>
      </c>
      <c r="N46" s="6">
        <f>IF(E46="","",IF(B46="Đầu ra",L46,0))</f>
        <v/>
      </c>
      <c r="O46" s="6">
        <f>IF(E46="","",IF(B46&lt;&gt;"Đầu vào",0,IF(AND(M46&gt;=20000000,K46="Tiền mặt"),0,L46)))</f>
        <v/>
      </c>
      <c r="P46" s="7">
        <f>IF(E46="","",IF(G46="","Thiếu mã số thuế đối tác",IF(AND(B46="Đầu vào",M46&gt;=20000000,K46="Tiền mặt"),"Từ 20 triệu trả tiền mặt - không được khấu trừ",IF(I46=0,"Chưa nhập doanh số","Hợp lệ"))))</f>
        <v/>
      </c>
    </row>
    <row r="47">
      <c r="A47" s="2" t="n"/>
      <c r="B47" s="3" t="n"/>
      <c r="C47" s="4" t="n"/>
      <c r="D47" s="3" t="n"/>
      <c r="E47" s="3" t="n"/>
      <c r="F47" s="3" t="n"/>
      <c r="G47" s="3" t="n"/>
      <c r="H47" s="3" t="n"/>
      <c r="I47" s="5" t="n"/>
      <c r="J47" s="2" t="n"/>
      <c r="K47" s="3" t="n"/>
      <c r="L47" s="6">
        <f>IF(E47="","",ROUND(I47*J47/100,0))</f>
        <v/>
      </c>
      <c r="M47" s="6">
        <f>IF(E47="","",I47+L47)</f>
        <v/>
      </c>
      <c r="N47" s="6">
        <f>IF(E47="","",IF(B47="Đầu ra",L47,0))</f>
        <v/>
      </c>
      <c r="O47" s="6">
        <f>IF(E47="","",IF(B47&lt;&gt;"Đầu vào",0,IF(AND(M47&gt;=20000000,K47="Tiền mặt"),0,L47)))</f>
        <v/>
      </c>
      <c r="P47" s="7">
        <f>IF(E47="","",IF(G47="","Thiếu mã số thuế đối tác",IF(AND(B47="Đầu vào",M47&gt;=20000000,K47="Tiền mặt"),"Từ 20 triệu trả tiền mặt - không được khấu trừ",IF(I47=0,"Chưa nhập doanh số","Hợp lệ"))))</f>
        <v/>
      </c>
    </row>
  </sheetData>
  <autoFilter ref="A1:P47"/>
  <dataValidations count="4">
    <dataValidation sqref="B2:B47" showDropDown="0" showInputMessage="0" showErrorMessage="0" allowBlank="1" errorTitle="Sai định dạng" error="Giá trị không hợp lệ cho cột này." type="list">
      <formula1>"Đầu vào,Đầu ra"</formula1>
    </dataValidation>
    <dataValidation sqref="I2:I47" showDropDown="0" showInputMessage="0" showErrorMessage="0" allowBlank="1" errorTitle="Sai định dạng" error="Giá trị không hợp lệ cho cột này." type="decimal" operator="between">
      <formula1>-10000000000</formula1>
      <formula2>10000000000</formula2>
    </dataValidation>
    <dataValidation sqref="J2:J47" showDropDown="0" showInputMessage="0" showErrorMessage="0" allowBlank="1" errorTitle="Sai định dạng" error="Giá trị không hợp lệ cho cột này." type="decimal" operator="between">
      <formula1>0</formula1>
      <formula2>20</formula2>
    </dataValidation>
    <dataValidation sqref="K2:K47" showDropDown="0" showInputMessage="0" showErrorMessage="0" allowBlank="1" errorTitle="Sai định dạng" error="Giá trị không hợp lệ cho cột này." type="list">
      <formula1>"Chuyển khoản,Tiền mặt,Bù trừ công nợ,Chưa thanh toán"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28"/>
  <sheetViews>
    <sheetView workbookViewId="0">
      <selection activeCell="A1" sqref="A1"/>
    </sheetView>
  </sheetViews>
  <sheetFormatPr baseColWidth="8" defaultRowHeight="15"/>
  <cols>
    <col width="4" customWidth="1" min="1" max="1"/>
    <col width="100" customWidth="1" min="2" max="2"/>
  </cols>
  <sheetData>
    <row r="1">
      <c r="B1" s="8" t="inlineStr">
        <is>
          <t>Mẫu Excel bảng kê hóa đơn GTGT đầu vào đầu ra</t>
        </is>
      </c>
    </row>
    <row r="2">
      <c r="B2" s="9" t="inlineStr"/>
    </row>
    <row r="3">
      <c r="B3" s="10" t="inlineStr">
        <is>
          <t>CÁCH DÙNG</t>
        </is>
      </c>
    </row>
    <row r="4">
      <c r="B4" s="11" t="inlineStr">
        <is>
          <t>1. Chọn loại hóa đơn cho từng dòng</t>
        </is>
      </c>
    </row>
    <row r="5">
      <c r="B5" s="9" t="inlineStr">
        <is>
          <t xml:space="preserve">   Đầu vào là hóa đơn bạn nhận khi mua hàng, mua dịch vụ. Đầu ra là hóa đơn bạn xuất cho khách. Cột này quyết định dòng đó chảy vào cột thuế đầu ra hay cột thuế được khấu trừ, nên chọn sai là lệch cả số thuế phải nộp.</t>
        </is>
      </c>
    </row>
    <row r="6">
      <c r="B6" s="11" t="inlineStr">
        <is>
          <t>2. Nhập thông tin hóa đơn và mã số thuế đối tác</t>
        </is>
      </c>
    </row>
    <row r="7">
      <c r="B7" s="9" t="inlineStr">
        <is>
          <t xml:space="preserve">   Ký hiệu, số hóa đơn, ngày, tên đối tác và mã số thuế lấy đúng như trên hóa đơn điện tử. Mã số thuế không được bỏ trống: hóa đơn đầu vào thiếu mã số thuế bên bán là hóa đơn không hợp lệ, và cột cảnh báo sẽ nhắc ngay.</t>
        </is>
      </c>
    </row>
    <row r="8">
      <c r="B8" s="11" t="inlineStr">
        <is>
          <t>3. Nhập doanh số chưa thuế và thuế suất</t>
        </is>
      </c>
    </row>
    <row r="9">
      <c r="B9" s="9" t="inlineStr">
        <is>
          <t xml:space="preserve">   Doanh số chưa thuế là số tiền hàng trước khi cộng thuế GTGT, thuế suất nhập bằng con số phần trăm, ví dụ gõ 10 cho mức 10%. Hàng thuộc diện không chịu thuế thì nhập 0 và ghi rõ ở cột nội dung để sau này lọc ra.</t>
        </is>
      </c>
    </row>
    <row r="10">
      <c r="B10" s="11" t="inlineStr">
        <is>
          <t>4. Chọn hình thức thanh toán</t>
        </is>
      </c>
    </row>
    <row r="11">
      <c r="B11" s="9" t="inlineStr">
        <is>
          <t xml:space="preserve">   Cột này không phải để cho đẹp. Với hóa đơn đầu vào có tổng thanh toán từ 20 triệu đồng trở lên, chọn Tiền mặt sẽ khiến file tự đưa phần thuế của dòng đó về 0 ở cột được khấu trừ, đúng như khi cơ quan thuế loại nó ra.</t>
        </is>
      </c>
    </row>
    <row r="12">
      <c r="B12" s="11" t="inlineStr">
        <is>
          <t>5. Cộng hai cột thuế để lên tờ khai</t>
        </is>
      </c>
    </row>
    <row r="13">
      <c r="B13" s="9" t="inlineStr">
        <is>
          <t xml:space="preserve">   Bôi đen cột Thuế đầu ra và đọc số tổng ở thanh trạng thái, làm tương tự với cột Thuế đầu vào được khấu trừ. Lấy thuế đầu ra trừ thuế đầu vào được khấu trừ là ra số thuế GTGT phải nộp của kỳ; ra số âm nghĩa là kỳ này còn được khấu trừ chuyển sang kỳ sau.</t>
        </is>
      </c>
    </row>
    <row r="14">
      <c r="B14" s="9" t="inlineStr"/>
    </row>
    <row r="15">
      <c r="B15" s="10" t="inlineStr">
        <is>
          <t>CÔNG THỨC TRONG FILE</t>
        </is>
      </c>
    </row>
    <row r="16">
      <c r="B16" s="11" t="inlineStr">
        <is>
          <t>Tiền thuế GTGT  —  =IF(E2="","",ROUND(I2*J2/100,0))</t>
        </is>
      </c>
    </row>
    <row r="17">
      <c r="B17" s="9" t="inlineStr">
        <is>
          <t xml:space="preserve">   Doanh số chưa thuế nhân thuế suất. Chia cho 100 vì thuế suất nhập bằng số nguyên như in trên hóa đơn, và làm tròn tới đồng bằng ROUND để khớp với con số ghi trên hóa đơn điện tử.</t>
        </is>
      </c>
    </row>
    <row r="18">
      <c r="B18" s="11" t="inlineStr">
        <is>
          <t>Tổng thanh toán  —  =IF(E2="","",I2+L2)</t>
        </is>
      </c>
    </row>
    <row r="19">
      <c r="B19" s="9" t="inlineStr">
        <is>
          <t xml:space="preserve">   Số tiền thật sự trả hoặc thu, đã gồm thuế. Đây mới là con số đem so với ngưỡng 20 triệu của điều kiện thanh toán không dùng tiền mặt, chứ không phải doanh số chưa thuế.</t>
        </is>
      </c>
    </row>
    <row r="20">
      <c r="B20" s="11" t="inlineStr">
        <is>
          <t>Thuế đầu ra  —  =IF(E2="","",IF(B2="Đầu ra",L2,0))</t>
        </is>
      </c>
    </row>
    <row r="21">
      <c r="B21" s="9" t="inlineStr">
        <is>
          <t xml:space="preserve">   Chỉ nhận tiền thuế của hóa đơn bạn xuất ra. Tổng cột này là thuế GTGT đầu ra của kỳ, một trong hai số cần có để lên tờ khai.</t>
        </is>
      </c>
    </row>
    <row r="22">
      <c r="B22" s="11" t="inlineStr">
        <is>
          <t>Thuế đầu vào được khấu trừ  —  =IF(E2="","",IF(B2&lt;&gt;"Đầu vào",0,IF(AND(M2&gt;=20000000,K2="Tiền mặt"),0,L2)))</t>
        </is>
      </c>
    </row>
    <row r="23">
      <c r="B23" s="9" t="inlineStr">
        <is>
          <t xml:space="preserve">   Nhận tiền thuế của hóa đơn đầu vào, trừ trường hợp tổng thanh toán từ 20 triệu đồng mà trả bằng tiền mặt thì trả về 0 — đúng như khi khoản thuế đó bị loại. Lấy tổng cột Thuế đầu ra trừ tổng cột này ra số thuế phải nộp của kỳ.</t>
        </is>
      </c>
    </row>
    <row r="24">
      <c r="B24" s="11" t="inlineStr">
        <is>
          <t>Cảnh báo  —  =IF(E2="","",IF(G2="","Thiếu mã số thuế đối tác",IF(AND(B2="Đầu vào",M2&gt;=20000000,K2="Tiền mặt"),"Từ 20 triệu trả tiền mặt - không được khấu trừ",IF(I2=0,"Chưa nhập doanh số","Hợp lệ"))))</t>
        </is>
      </c>
    </row>
    <row r="25">
      <c r="B25" s="9" t="inlineStr">
        <is>
          <t xml:space="preserve">   Ba lỗi khiến hóa đơn bị loại hoặc bị hỏi khi quyết toán, xếp theo mức tốn kém giảm dần. Thiếu mã số thuế đứng đầu vì nó làm hóa đơn không hợp lệ ngay từ hình thức, không cứu được bằng cách đổi cách thanh toán như lỗi thứ hai.</t>
        </is>
      </c>
    </row>
    <row r="26">
      <c r="B26" s="9" t="inlineStr"/>
    </row>
    <row r="27">
      <c r="B27" s="11" t="inlineStr">
        <is>
          <t>Bản cập nhật mới nhất và hướng dẫn chi tiết:</t>
        </is>
      </c>
    </row>
    <row r="28">
      <c r="B28" s="12" t="inlineStr">
        <is>
          <t>https://excel.nguyenvietloc.com/mau-excel/ke-toan/bang-ke-hoa-don-dau-vao-dau-ra</t>
        </is>
      </c>
    </row>
  </sheetData>
  <hyperlinks>
    <hyperlink xmlns:r="http://schemas.openxmlformats.org/officeDocument/2006/relationships" ref="B28"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2026-08-10T14:56:08Z</dcterms:created>
  <dcterms:modified xsi:type="dcterms:W3CDTF">2026-08-10T14:56:08Z</dcterms:modified>
</cp:coreProperties>
</file>