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ổ quỹ tiền mặt" sheetId="1" state="visible" r:id="rId1"/>
    <sheet name="Hướng dẫn" sheetId="2" state="visible" r:id="rId2"/>
  </sheets>
  <definedNames>
    <definedName name="_xlnm._FilterDatabase" localSheetId="0" hidden="1">'Sổ quỹ tiền mặt'!$A$1:$I$37</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166" fontId="0" fillId="0" borderId="1" pivotButton="0" quotePrefix="0" xfId="0"/>
    <xf numFmtId="49" fontId="0" fillId="0" borderId="1" pivotButton="0" quotePrefix="0" xfId="0"/>
    <xf numFmtId="167" fontId="0" fillId="0" borderId="1" pivotButton="0" quotePrefix="0" xfId="0"/>
    <xf numFmtId="167"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so-quy-tien-mat" TargetMode="External" Id="rId1" /></Relationships>
</file>

<file path=xl/worksheets/sheet1.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4" customWidth="1" min="3" max="3"/>
    <col width="34" customWidth="1" min="4" max="4"/>
    <col width="20" customWidth="1" min="5" max="5"/>
    <col width="16" customWidth="1" min="6" max="6"/>
    <col width="16" customWidth="1" min="7" max="7"/>
    <col width="18" customWidth="1" min="8" max="8"/>
    <col width="26" customWidth="1" min="9" max="9"/>
  </cols>
  <sheetData>
    <row r="1" ht="32" customHeight="1">
      <c r="A1" s="1" t="inlineStr">
        <is>
          <t>STT</t>
        </is>
      </c>
      <c r="B1" s="1" t="inlineStr">
        <is>
          <t>Ngày</t>
        </is>
      </c>
      <c r="C1" s="1" t="inlineStr">
        <is>
          <t>Số chứng từ</t>
        </is>
      </c>
      <c r="D1" s="1" t="inlineStr">
        <is>
          <t>Diễn giải</t>
        </is>
      </c>
      <c r="E1" s="1" t="inlineStr">
        <is>
          <t>Khoản mục</t>
        </is>
      </c>
      <c r="F1" s="1" t="inlineStr">
        <is>
          <t>Thu</t>
        </is>
      </c>
      <c r="G1" s="1" t="inlineStr">
        <is>
          <t>Chi</t>
        </is>
      </c>
      <c r="H1" s="1" t="inlineStr">
        <is>
          <t>Tồn quỹ</t>
        </is>
      </c>
      <c r="I1" s="1" t="inlineStr">
        <is>
          <t>Cảnh báo</t>
        </is>
      </c>
    </row>
    <row r="2">
      <c r="A2" s="2" t="n">
        <v>1</v>
      </c>
      <c r="B2" s="3" t="n">
        <v>46204</v>
      </c>
      <c r="C2" s="4" t="inlineStr"/>
      <c r="D2" s="4" t="inlineStr">
        <is>
          <t>Số dư đầu kỳ mang sang</t>
        </is>
      </c>
      <c r="E2" s="4" t="inlineStr">
        <is>
          <t>Số dư đầu kỳ</t>
        </is>
      </c>
      <c r="F2" s="5" t="n">
        <v>25000000</v>
      </c>
      <c r="G2" s="5" t="n">
        <v>0</v>
      </c>
      <c r="H2" s="6">
        <f>IF(D2="","",N(H1)+F2-G2)</f>
        <v/>
      </c>
      <c r="I2" s="7">
        <f>IF(D2="","",IF(H2&lt;0,"Âm quỹ - kiểm tra lại",IF(AND(F2=0,G2=0),"Chưa nhập số tiền","Hợp lệ")))</f>
        <v/>
      </c>
    </row>
    <row r="3">
      <c r="A3" s="2" t="n">
        <v>2</v>
      </c>
      <c r="B3" s="3" t="n">
        <v>46206</v>
      </c>
      <c r="C3" s="4" t="inlineStr">
        <is>
          <t>PT001</t>
        </is>
      </c>
      <c r="D3" s="4" t="inlineStr">
        <is>
          <t>Thu tiền bán hàng khách lẻ</t>
        </is>
      </c>
      <c r="E3" s="4" t="inlineStr">
        <is>
          <t>Bán hàng</t>
        </is>
      </c>
      <c r="F3" s="5" t="n">
        <v>8500000</v>
      </c>
      <c r="G3" s="5" t="n">
        <v>0</v>
      </c>
      <c r="H3" s="6">
        <f>IF(D3="","",N(H2)+F3-G3)</f>
        <v/>
      </c>
      <c r="I3" s="7">
        <f>IF(D3="","",IF(H3&lt;0,"Âm quỹ - kiểm tra lại",IF(AND(F3=0,G3=0),"Chưa nhập số tiền","Hợp lệ")))</f>
        <v/>
      </c>
    </row>
    <row r="4">
      <c r="A4" s="2" t="n">
        <v>3</v>
      </c>
      <c r="B4" s="3" t="n">
        <v>46208</v>
      </c>
      <c r="C4" s="4" t="inlineStr">
        <is>
          <t>PC001</t>
        </is>
      </c>
      <c r="D4" s="4" t="inlineStr">
        <is>
          <t>Chi mua văn phòng phẩm quý III</t>
        </is>
      </c>
      <c r="E4" s="4" t="inlineStr">
        <is>
          <t>Chi phí văn phòng</t>
        </is>
      </c>
      <c r="F4" s="5" t="n">
        <v>0</v>
      </c>
      <c r="G4" s="5" t="n">
        <v>1200000</v>
      </c>
      <c r="H4" s="6">
        <f>IF(D4="","",N(H3)+F4-G4)</f>
        <v/>
      </c>
      <c r="I4" s="7">
        <f>IF(D4="","",IF(H4&lt;0,"Âm quỹ - kiểm tra lại",IF(AND(F4=0,G4=0),"Chưa nhập số tiền","Hợp lệ")))</f>
        <v/>
      </c>
    </row>
    <row r="5">
      <c r="A5" s="2" t="n">
        <v>4</v>
      </c>
      <c r="B5" s="3" t="n">
        <v>46213</v>
      </c>
      <c r="C5" s="4" t="inlineStr">
        <is>
          <t>PC002</t>
        </is>
      </c>
      <c r="D5" s="4" t="inlineStr">
        <is>
          <t>Chi tạm ứng lương kỳ 1 tháng 7</t>
        </is>
      </c>
      <c r="E5" s="4" t="inlineStr">
        <is>
          <t>Lương và bảo hiểm</t>
        </is>
      </c>
      <c r="F5" s="5" t="n">
        <v>0</v>
      </c>
      <c r="G5" s="5" t="n">
        <v>15000000</v>
      </c>
      <c r="H5" s="6">
        <f>IF(D5="","",N(H4)+F5-G5)</f>
        <v/>
      </c>
      <c r="I5" s="7">
        <f>IF(D5="","",IF(H5&lt;0,"Âm quỹ - kiểm tra lại",IF(AND(F5=0,G5=0),"Chưa nhập số tiền","Hợp lệ")))</f>
        <v/>
      </c>
    </row>
    <row r="6">
      <c r="A6" s="2" t="n">
        <v>5</v>
      </c>
      <c r="B6" s="3" t="n">
        <v>46218</v>
      </c>
      <c r="C6" s="4" t="inlineStr">
        <is>
          <t>PT002</t>
        </is>
      </c>
      <c r="D6" s="4" t="inlineStr">
        <is>
          <t>Thu tiền công nợ khách hàng An Phát</t>
        </is>
      </c>
      <c r="E6" s="4" t="inlineStr">
        <is>
          <t>Thu công nợ</t>
        </is>
      </c>
      <c r="F6" s="5" t="n">
        <v>12000000</v>
      </c>
      <c r="G6" s="5" t="n">
        <v>0</v>
      </c>
      <c r="H6" s="6">
        <f>IF(D6="","",N(H5)+F6-G6)</f>
        <v/>
      </c>
      <c r="I6" s="7">
        <f>IF(D6="","",IF(H6&lt;0,"Âm quỹ - kiểm tra lại",IF(AND(F6=0,G6=0),"Chưa nhập số tiền","Hợp lệ")))</f>
        <v/>
      </c>
    </row>
    <row r="7">
      <c r="A7" s="2" t="n">
        <v>6</v>
      </c>
      <c r="B7" s="3" t="n">
        <v>46223</v>
      </c>
      <c r="C7" s="4" t="inlineStr">
        <is>
          <t>PC003</t>
        </is>
      </c>
      <c r="D7" s="4" t="inlineStr">
        <is>
          <t>Chi tiền điện nước tháng 6</t>
        </is>
      </c>
      <c r="E7" s="4" t="inlineStr">
        <is>
          <t>Chi phí văn phòng</t>
        </is>
      </c>
      <c r="F7" s="5" t="n">
        <v>0</v>
      </c>
      <c r="G7" s="5" t="n">
        <v>3400000</v>
      </c>
      <c r="H7" s="6">
        <f>IF(D7="","",N(H6)+F7-G7)</f>
        <v/>
      </c>
      <c r="I7" s="7">
        <f>IF(D7="","",IF(H7&lt;0,"Âm quỹ - kiểm tra lại",IF(AND(F7=0,G7=0),"Chưa nhập số tiền","Hợp lệ")))</f>
        <v/>
      </c>
    </row>
    <row r="8">
      <c r="A8" s="2" t="n"/>
      <c r="B8" s="3" t="n"/>
      <c r="C8" s="4" t="n"/>
      <c r="D8" s="4" t="n"/>
      <c r="E8" s="4" t="n"/>
      <c r="F8" s="5" t="n"/>
      <c r="G8" s="5" t="n"/>
      <c r="H8" s="6">
        <f>IF(D8="","",N(H7)+F8-G8)</f>
        <v/>
      </c>
      <c r="I8" s="7">
        <f>IF(D8="","",IF(H8&lt;0,"Âm quỹ - kiểm tra lại",IF(AND(F8=0,G8=0),"Chưa nhập số tiền","Hợp lệ")))</f>
        <v/>
      </c>
    </row>
    <row r="9">
      <c r="A9" s="2" t="n"/>
      <c r="B9" s="3" t="n"/>
      <c r="C9" s="4" t="n"/>
      <c r="D9" s="4" t="n"/>
      <c r="E9" s="4" t="n"/>
      <c r="F9" s="5" t="n"/>
      <c r="G9" s="5" t="n"/>
      <c r="H9" s="6">
        <f>IF(D9="","",N(H8)+F9-G9)</f>
        <v/>
      </c>
      <c r="I9" s="7">
        <f>IF(D9="","",IF(H9&lt;0,"Âm quỹ - kiểm tra lại",IF(AND(F9=0,G9=0),"Chưa nhập số tiền","Hợp lệ")))</f>
        <v/>
      </c>
    </row>
    <row r="10">
      <c r="A10" s="2" t="n"/>
      <c r="B10" s="3" t="n"/>
      <c r="C10" s="4" t="n"/>
      <c r="D10" s="4" t="n"/>
      <c r="E10" s="4" t="n"/>
      <c r="F10" s="5" t="n"/>
      <c r="G10" s="5" t="n"/>
      <c r="H10" s="6">
        <f>IF(D10="","",N(H9)+F10-G10)</f>
        <v/>
      </c>
      <c r="I10" s="7">
        <f>IF(D10="","",IF(H10&lt;0,"Âm quỹ - kiểm tra lại",IF(AND(F10=0,G10=0),"Chưa nhập số tiền","Hợp lệ")))</f>
        <v/>
      </c>
    </row>
    <row r="11">
      <c r="A11" s="2" t="n"/>
      <c r="B11" s="3" t="n"/>
      <c r="C11" s="4" t="n"/>
      <c r="D11" s="4" t="n"/>
      <c r="E11" s="4" t="n"/>
      <c r="F11" s="5" t="n"/>
      <c r="G11" s="5" t="n"/>
      <c r="H11" s="6">
        <f>IF(D11="","",N(H10)+F11-G11)</f>
        <v/>
      </c>
      <c r="I11" s="7">
        <f>IF(D11="","",IF(H11&lt;0,"Âm quỹ - kiểm tra lại",IF(AND(F11=0,G11=0),"Chưa nhập số tiền","Hợp lệ")))</f>
        <v/>
      </c>
    </row>
    <row r="12">
      <c r="A12" s="2" t="n"/>
      <c r="B12" s="3" t="n"/>
      <c r="C12" s="4" t="n"/>
      <c r="D12" s="4" t="n"/>
      <c r="E12" s="4" t="n"/>
      <c r="F12" s="5" t="n"/>
      <c r="G12" s="5" t="n"/>
      <c r="H12" s="6">
        <f>IF(D12="","",N(H11)+F12-G12)</f>
        <v/>
      </c>
      <c r="I12" s="7">
        <f>IF(D12="","",IF(H12&lt;0,"Âm quỹ - kiểm tra lại",IF(AND(F12=0,G12=0),"Chưa nhập số tiền","Hợp lệ")))</f>
        <v/>
      </c>
    </row>
    <row r="13">
      <c r="A13" s="2" t="n"/>
      <c r="B13" s="3" t="n"/>
      <c r="C13" s="4" t="n"/>
      <c r="D13" s="4" t="n"/>
      <c r="E13" s="4" t="n"/>
      <c r="F13" s="5" t="n"/>
      <c r="G13" s="5" t="n"/>
      <c r="H13" s="6">
        <f>IF(D13="","",N(H12)+F13-G13)</f>
        <v/>
      </c>
      <c r="I13" s="7">
        <f>IF(D13="","",IF(H13&lt;0,"Âm quỹ - kiểm tra lại",IF(AND(F13=0,G13=0),"Chưa nhập số tiền","Hợp lệ")))</f>
        <v/>
      </c>
    </row>
    <row r="14">
      <c r="A14" s="2" t="n"/>
      <c r="B14" s="3" t="n"/>
      <c r="C14" s="4" t="n"/>
      <c r="D14" s="4" t="n"/>
      <c r="E14" s="4" t="n"/>
      <c r="F14" s="5" t="n"/>
      <c r="G14" s="5" t="n"/>
      <c r="H14" s="6">
        <f>IF(D14="","",N(H13)+F14-G14)</f>
        <v/>
      </c>
      <c r="I14" s="7">
        <f>IF(D14="","",IF(H14&lt;0,"Âm quỹ - kiểm tra lại",IF(AND(F14=0,G14=0),"Chưa nhập số tiền","Hợp lệ")))</f>
        <v/>
      </c>
    </row>
    <row r="15">
      <c r="A15" s="2" t="n"/>
      <c r="B15" s="3" t="n"/>
      <c r="C15" s="4" t="n"/>
      <c r="D15" s="4" t="n"/>
      <c r="E15" s="4" t="n"/>
      <c r="F15" s="5" t="n"/>
      <c r="G15" s="5" t="n"/>
      <c r="H15" s="6">
        <f>IF(D15="","",N(H14)+F15-G15)</f>
        <v/>
      </c>
      <c r="I15" s="7">
        <f>IF(D15="","",IF(H15&lt;0,"Âm quỹ - kiểm tra lại",IF(AND(F15=0,G15=0),"Chưa nhập số tiền","Hợp lệ")))</f>
        <v/>
      </c>
    </row>
    <row r="16">
      <c r="A16" s="2" t="n"/>
      <c r="B16" s="3" t="n"/>
      <c r="C16" s="4" t="n"/>
      <c r="D16" s="4" t="n"/>
      <c r="E16" s="4" t="n"/>
      <c r="F16" s="5" t="n"/>
      <c r="G16" s="5" t="n"/>
      <c r="H16" s="6">
        <f>IF(D16="","",N(H15)+F16-G16)</f>
        <v/>
      </c>
      <c r="I16" s="7">
        <f>IF(D16="","",IF(H16&lt;0,"Âm quỹ - kiểm tra lại",IF(AND(F16=0,G16=0),"Chưa nhập số tiền","Hợp lệ")))</f>
        <v/>
      </c>
    </row>
    <row r="17">
      <c r="A17" s="2" t="n"/>
      <c r="B17" s="3" t="n"/>
      <c r="C17" s="4" t="n"/>
      <c r="D17" s="4" t="n"/>
      <c r="E17" s="4" t="n"/>
      <c r="F17" s="5" t="n"/>
      <c r="G17" s="5" t="n"/>
      <c r="H17" s="6">
        <f>IF(D17="","",N(H16)+F17-G17)</f>
        <v/>
      </c>
      <c r="I17" s="7">
        <f>IF(D17="","",IF(H17&lt;0,"Âm quỹ - kiểm tra lại",IF(AND(F17=0,G17=0),"Chưa nhập số tiền","Hợp lệ")))</f>
        <v/>
      </c>
    </row>
    <row r="18">
      <c r="A18" s="2" t="n"/>
      <c r="B18" s="3" t="n"/>
      <c r="C18" s="4" t="n"/>
      <c r="D18" s="4" t="n"/>
      <c r="E18" s="4" t="n"/>
      <c r="F18" s="5" t="n"/>
      <c r="G18" s="5" t="n"/>
      <c r="H18" s="6">
        <f>IF(D18="","",N(H17)+F18-G18)</f>
        <v/>
      </c>
      <c r="I18" s="7">
        <f>IF(D18="","",IF(H18&lt;0,"Âm quỹ - kiểm tra lại",IF(AND(F18=0,G18=0),"Chưa nhập số tiền","Hợp lệ")))</f>
        <v/>
      </c>
    </row>
    <row r="19">
      <c r="A19" s="2" t="n"/>
      <c r="B19" s="3" t="n"/>
      <c r="C19" s="4" t="n"/>
      <c r="D19" s="4" t="n"/>
      <c r="E19" s="4" t="n"/>
      <c r="F19" s="5" t="n"/>
      <c r="G19" s="5" t="n"/>
      <c r="H19" s="6">
        <f>IF(D19="","",N(H18)+F19-G19)</f>
        <v/>
      </c>
      <c r="I19" s="7">
        <f>IF(D19="","",IF(H19&lt;0,"Âm quỹ - kiểm tra lại",IF(AND(F19=0,G19=0),"Chưa nhập số tiền","Hợp lệ")))</f>
        <v/>
      </c>
    </row>
    <row r="20">
      <c r="A20" s="2" t="n"/>
      <c r="B20" s="3" t="n"/>
      <c r="C20" s="4" t="n"/>
      <c r="D20" s="4" t="n"/>
      <c r="E20" s="4" t="n"/>
      <c r="F20" s="5" t="n"/>
      <c r="G20" s="5" t="n"/>
      <c r="H20" s="6">
        <f>IF(D20="","",N(H19)+F20-G20)</f>
        <v/>
      </c>
      <c r="I20" s="7">
        <f>IF(D20="","",IF(H20&lt;0,"Âm quỹ - kiểm tra lại",IF(AND(F20=0,G20=0),"Chưa nhập số tiền","Hợp lệ")))</f>
        <v/>
      </c>
    </row>
    <row r="21">
      <c r="A21" s="2" t="n"/>
      <c r="B21" s="3" t="n"/>
      <c r="C21" s="4" t="n"/>
      <c r="D21" s="4" t="n"/>
      <c r="E21" s="4" t="n"/>
      <c r="F21" s="5" t="n"/>
      <c r="G21" s="5" t="n"/>
      <c r="H21" s="6">
        <f>IF(D21="","",N(H20)+F21-G21)</f>
        <v/>
      </c>
      <c r="I21" s="7">
        <f>IF(D21="","",IF(H21&lt;0,"Âm quỹ - kiểm tra lại",IF(AND(F21=0,G21=0),"Chưa nhập số tiền","Hợp lệ")))</f>
        <v/>
      </c>
    </row>
    <row r="22">
      <c r="A22" s="2" t="n"/>
      <c r="B22" s="3" t="n"/>
      <c r="C22" s="4" t="n"/>
      <c r="D22" s="4" t="n"/>
      <c r="E22" s="4" t="n"/>
      <c r="F22" s="5" t="n"/>
      <c r="G22" s="5" t="n"/>
      <c r="H22" s="6">
        <f>IF(D22="","",N(H21)+F22-G22)</f>
        <v/>
      </c>
      <c r="I22" s="7">
        <f>IF(D22="","",IF(H22&lt;0,"Âm quỹ - kiểm tra lại",IF(AND(F22=0,G22=0),"Chưa nhập số tiền","Hợp lệ")))</f>
        <v/>
      </c>
    </row>
    <row r="23">
      <c r="A23" s="2" t="n"/>
      <c r="B23" s="3" t="n"/>
      <c r="C23" s="4" t="n"/>
      <c r="D23" s="4" t="n"/>
      <c r="E23" s="4" t="n"/>
      <c r="F23" s="5" t="n"/>
      <c r="G23" s="5" t="n"/>
      <c r="H23" s="6">
        <f>IF(D23="","",N(H22)+F23-G23)</f>
        <v/>
      </c>
      <c r="I23" s="7">
        <f>IF(D23="","",IF(H23&lt;0,"Âm quỹ - kiểm tra lại",IF(AND(F23=0,G23=0),"Chưa nhập số tiền","Hợp lệ")))</f>
        <v/>
      </c>
    </row>
    <row r="24">
      <c r="A24" s="2" t="n"/>
      <c r="B24" s="3" t="n"/>
      <c r="C24" s="4" t="n"/>
      <c r="D24" s="4" t="n"/>
      <c r="E24" s="4" t="n"/>
      <c r="F24" s="5" t="n"/>
      <c r="G24" s="5" t="n"/>
      <c r="H24" s="6">
        <f>IF(D24="","",N(H23)+F24-G24)</f>
        <v/>
      </c>
      <c r="I24" s="7">
        <f>IF(D24="","",IF(H24&lt;0,"Âm quỹ - kiểm tra lại",IF(AND(F24=0,G24=0),"Chưa nhập số tiền","Hợp lệ")))</f>
        <v/>
      </c>
    </row>
    <row r="25">
      <c r="A25" s="2" t="n"/>
      <c r="B25" s="3" t="n"/>
      <c r="C25" s="4" t="n"/>
      <c r="D25" s="4" t="n"/>
      <c r="E25" s="4" t="n"/>
      <c r="F25" s="5" t="n"/>
      <c r="G25" s="5" t="n"/>
      <c r="H25" s="6">
        <f>IF(D25="","",N(H24)+F25-G25)</f>
        <v/>
      </c>
      <c r="I25" s="7">
        <f>IF(D25="","",IF(H25&lt;0,"Âm quỹ - kiểm tra lại",IF(AND(F25=0,G25=0),"Chưa nhập số tiền","Hợp lệ")))</f>
        <v/>
      </c>
    </row>
    <row r="26">
      <c r="A26" s="2" t="n"/>
      <c r="B26" s="3" t="n"/>
      <c r="C26" s="4" t="n"/>
      <c r="D26" s="4" t="n"/>
      <c r="E26" s="4" t="n"/>
      <c r="F26" s="5" t="n"/>
      <c r="G26" s="5" t="n"/>
      <c r="H26" s="6">
        <f>IF(D26="","",N(H25)+F26-G26)</f>
        <v/>
      </c>
      <c r="I26" s="7">
        <f>IF(D26="","",IF(H26&lt;0,"Âm quỹ - kiểm tra lại",IF(AND(F26=0,G26=0),"Chưa nhập số tiền","Hợp lệ")))</f>
        <v/>
      </c>
    </row>
    <row r="27">
      <c r="A27" s="2" t="n"/>
      <c r="B27" s="3" t="n"/>
      <c r="C27" s="4" t="n"/>
      <c r="D27" s="4" t="n"/>
      <c r="E27" s="4" t="n"/>
      <c r="F27" s="5" t="n"/>
      <c r="G27" s="5" t="n"/>
      <c r="H27" s="6">
        <f>IF(D27="","",N(H26)+F27-G27)</f>
        <v/>
      </c>
      <c r="I27" s="7">
        <f>IF(D27="","",IF(H27&lt;0,"Âm quỹ - kiểm tra lại",IF(AND(F27=0,G27=0),"Chưa nhập số tiền","Hợp lệ")))</f>
        <v/>
      </c>
    </row>
    <row r="28">
      <c r="A28" s="2" t="n"/>
      <c r="B28" s="3" t="n"/>
      <c r="C28" s="4" t="n"/>
      <c r="D28" s="4" t="n"/>
      <c r="E28" s="4" t="n"/>
      <c r="F28" s="5" t="n"/>
      <c r="G28" s="5" t="n"/>
      <c r="H28" s="6">
        <f>IF(D28="","",N(H27)+F28-G28)</f>
        <v/>
      </c>
      <c r="I28" s="7">
        <f>IF(D28="","",IF(H28&lt;0,"Âm quỹ - kiểm tra lại",IF(AND(F28=0,G28=0),"Chưa nhập số tiền","Hợp lệ")))</f>
        <v/>
      </c>
    </row>
    <row r="29">
      <c r="A29" s="2" t="n"/>
      <c r="B29" s="3" t="n"/>
      <c r="C29" s="4" t="n"/>
      <c r="D29" s="4" t="n"/>
      <c r="E29" s="4" t="n"/>
      <c r="F29" s="5" t="n"/>
      <c r="G29" s="5" t="n"/>
      <c r="H29" s="6">
        <f>IF(D29="","",N(H28)+F29-G29)</f>
        <v/>
      </c>
      <c r="I29" s="7">
        <f>IF(D29="","",IF(H29&lt;0,"Âm quỹ - kiểm tra lại",IF(AND(F29=0,G29=0),"Chưa nhập số tiền","Hợp lệ")))</f>
        <v/>
      </c>
    </row>
    <row r="30">
      <c r="A30" s="2" t="n"/>
      <c r="B30" s="3" t="n"/>
      <c r="C30" s="4" t="n"/>
      <c r="D30" s="4" t="n"/>
      <c r="E30" s="4" t="n"/>
      <c r="F30" s="5" t="n"/>
      <c r="G30" s="5" t="n"/>
      <c r="H30" s="6">
        <f>IF(D30="","",N(H29)+F30-G30)</f>
        <v/>
      </c>
      <c r="I30" s="7">
        <f>IF(D30="","",IF(H30&lt;0,"Âm quỹ - kiểm tra lại",IF(AND(F30=0,G30=0),"Chưa nhập số tiền","Hợp lệ")))</f>
        <v/>
      </c>
    </row>
    <row r="31">
      <c r="A31" s="2" t="n"/>
      <c r="B31" s="3" t="n"/>
      <c r="C31" s="4" t="n"/>
      <c r="D31" s="4" t="n"/>
      <c r="E31" s="4" t="n"/>
      <c r="F31" s="5" t="n"/>
      <c r="G31" s="5" t="n"/>
      <c r="H31" s="6">
        <f>IF(D31="","",N(H30)+F31-G31)</f>
        <v/>
      </c>
      <c r="I31" s="7">
        <f>IF(D31="","",IF(H31&lt;0,"Âm quỹ - kiểm tra lại",IF(AND(F31=0,G31=0),"Chưa nhập số tiền","Hợp lệ")))</f>
        <v/>
      </c>
    </row>
    <row r="32">
      <c r="A32" s="2" t="n"/>
      <c r="B32" s="3" t="n"/>
      <c r="C32" s="4" t="n"/>
      <c r="D32" s="4" t="n"/>
      <c r="E32" s="4" t="n"/>
      <c r="F32" s="5" t="n"/>
      <c r="G32" s="5" t="n"/>
      <c r="H32" s="6">
        <f>IF(D32="","",N(H31)+F32-G32)</f>
        <v/>
      </c>
      <c r="I32" s="7">
        <f>IF(D32="","",IF(H32&lt;0,"Âm quỹ - kiểm tra lại",IF(AND(F32=0,G32=0),"Chưa nhập số tiền","Hợp lệ")))</f>
        <v/>
      </c>
    </row>
    <row r="33">
      <c r="A33" s="2" t="n"/>
      <c r="B33" s="3" t="n"/>
      <c r="C33" s="4" t="n"/>
      <c r="D33" s="4" t="n"/>
      <c r="E33" s="4" t="n"/>
      <c r="F33" s="5" t="n"/>
      <c r="G33" s="5" t="n"/>
      <c r="H33" s="6">
        <f>IF(D33="","",N(H32)+F33-G33)</f>
        <v/>
      </c>
      <c r="I33" s="7">
        <f>IF(D33="","",IF(H33&lt;0,"Âm quỹ - kiểm tra lại",IF(AND(F33=0,G33=0),"Chưa nhập số tiền","Hợp lệ")))</f>
        <v/>
      </c>
    </row>
    <row r="34">
      <c r="A34" s="2" t="n"/>
      <c r="B34" s="3" t="n"/>
      <c r="C34" s="4" t="n"/>
      <c r="D34" s="4" t="n"/>
      <c r="E34" s="4" t="n"/>
      <c r="F34" s="5" t="n"/>
      <c r="G34" s="5" t="n"/>
      <c r="H34" s="6">
        <f>IF(D34="","",N(H33)+F34-G34)</f>
        <v/>
      </c>
      <c r="I34" s="7">
        <f>IF(D34="","",IF(H34&lt;0,"Âm quỹ - kiểm tra lại",IF(AND(F34=0,G34=0),"Chưa nhập số tiền","Hợp lệ")))</f>
        <v/>
      </c>
    </row>
    <row r="35">
      <c r="A35" s="2" t="n"/>
      <c r="B35" s="3" t="n"/>
      <c r="C35" s="4" t="n"/>
      <c r="D35" s="4" t="n"/>
      <c r="E35" s="4" t="n"/>
      <c r="F35" s="5" t="n"/>
      <c r="G35" s="5" t="n"/>
      <c r="H35" s="6">
        <f>IF(D35="","",N(H34)+F35-G35)</f>
        <v/>
      </c>
      <c r="I35" s="7">
        <f>IF(D35="","",IF(H35&lt;0,"Âm quỹ - kiểm tra lại",IF(AND(F35=0,G35=0),"Chưa nhập số tiền","Hợp lệ")))</f>
        <v/>
      </c>
    </row>
    <row r="36">
      <c r="A36" s="2" t="n"/>
      <c r="B36" s="3" t="n"/>
      <c r="C36" s="4" t="n"/>
      <c r="D36" s="4" t="n"/>
      <c r="E36" s="4" t="n"/>
      <c r="F36" s="5" t="n"/>
      <c r="G36" s="5" t="n"/>
      <c r="H36" s="6">
        <f>IF(D36="","",N(H35)+F36-G36)</f>
        <v/>
      </c>
      <c r="I36" s="7">
        <f>IF(D36="","",IF(H36&lt;0,"Âm quỹ - kiểm tra lại",IF(AND(F36=0,G36=0),"Chưa nhập số tiền","Hợp lệ")))</f>
        <v/>
      </c>
    </row>
    <row r="37">
      <c r="A37" s="2" t="n"/>
      <c r="B37" s="3" t="n"/>
      <c r="C37" s="4" t="n"/>
      <c r="D37" s="4" t="n"/>
      <c r="E37" s="4" t="n"/>
      <c r="F37" s="5" t="n"/>
      <c r="G37" s="5" t="n"/>
      <c r="H37" s="6">
        <f>IF(D37="","",N(H36)+F37-G37)</f>
        <v/>
      </c>
      <c r="I37" s="7">
        <f>IF(D37="","",IF(H37&lt;0,"Âm quỹ - kiểm tra lại",IF(AND(F37=0,G37=0),"Chưa nhập số tiền","Hợp lệ")))</f>
        <v/>
      </c>
    </row>
  </sheetData>
  <autoFilter ref="A1:I37"/>
  <dataValidations count="3">
    <dataValidation sqref="E2:E37" showDropDown="0" showInputMessage="0" showErrorMessage="0" allowBlank="1" errorTitle="Sai định dạng" error="Giá trị không hợp lệ cho cột này." type="list">
      <formula1>"Số dư đầu kỳ,Bán hàng,Thu công nợ,Thu khác,Mua hàng hóa,Lương và bảo hiểm,Chi phí văn phòng,Chi khác"</formula1>
    </dataValidation>
    <dataValidation sqref="F2:F37" showDropDown="0" showInputMessage="0" showErrorMessage="0" allowBlank="1" errorTitle="Sai định dạng" error="Giá trị không hợp lệ cho cột này." type="decimal" operator="between">
      <formula1>0</formula1>
      <formula2>10000000000</formula2>
    </dataValidation>
    <dataValidation sqref="G2:G37" showDropDown="0" showInputMessage="0" showErrorMessage="0" allowBlank="1" errorTitle="Sai định dạng" error="Giá trị không hợp lệ cho cột này." type="decimal" operator="between">
      <formula1>0</formula1>
      <formula2>10000000000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00" customWidth="1" min="2" max="2"/>
  </cols>
  <sheetData>
    <row r="1">
      <c r="B1" s="8" t="inlineStr">
        <is>
          <t>Mẫu Excel sổ quỹ tiền mặt (tự cộng dồn tồn quỹ)</t>
        </is>
      </c>
    </row>
    <row r="2">
      <c r="B2" s="9" t="inlineStr"/>
    </row>
    <row r="3">
      <c r="B3" s="10" t="inlineStr">
        <is>
          <t>CÁCH DÙNG</t>
        </is>
      </c>
    </row>
    <row r="4">
      <c r="B4" s="11" t="inlineStr">
        <is>
          <t>1. Ghi số dư đầu kỳ vào dòng 1</t>
        </is>
      </c>
    </row>
    <row r="5">
      <c r="B5" s="9" t="inlineStr">
        <is>
          <t xml:space="preserve">   Dòng đầu tiên để nguyên diễn giải Số dư đầu kỳ mang sang, nhập số tiền tồn quỹ cuối tháng trước vào cột Thu. Đây là điểm xuất phát của cả cột tồn quỹ, sai ở đây thì mọi dòng bên dưới sai theo.</t>
        </is>
      </c>
    </row>
    <row r="6">
      <c r="B6" s="11" t="inlineStr">
        <is>
          <t>2. Nhập từng phiếu theo đúng thứ tự ngày</t>
        </is>
      </c>
    </row>
    <row r="7">
      <c r="B7" s="9" t="inlineStr">
        <is>
          <t xml:space="preserve">   Mỗi phiếu thu hoặc phiếu chi là một dòng: ngày, số chứng từ, diễn giải, khoản mục, rồi số tiền vào đúng cột Thu hoặc cột Chi. Không gõ gì vào hai cột cuối, chúng tự tính.</t>
        </is>
      </c>
    </row>
    <row r="8">
      <c r="B8" s="11" t="inlineStr">
        <is>
          <t>3. Đọc cột tồn quỹ và cột cảnh báo</t>
        </is>
      </c>
    </row>
    <row r="9">
      <c r="B9" s="9" t="inlineStr">
        <is>
          <t xml:space="preserve">   Tồn quỹ ở dòng cuối cùng có dữ liệu chính là số tiền mặt phải có trong két tại thời điểm đó. Cột cảnh báo hiện Hợp lệ với dòng bình thường, và đổi sang chữ đỏ nghĩa khi có gì đó cần xem lại.</t>
        </is>
      </c>
    </row>
    <row r="10">
      <c r="B10" s="11" t="inlineStr">
        <is>
          <t>4. Đối chiếu với tiền mặt thực tế</t>
        </is>
      </c>
    </row>
    <row r="11">
      <c r="B11" s="9" t="inlineStr">
        <is>
          <t xml:space="preserve">   Cuối ngày hoặc cuối tháng, đếm tiền trong két rồi so với tồn quỹ ở dòng cuối. Lệch nhau thì rà ngược lên, thường là một phiếu bị bỏ sót hoặc bị gõ nhầm cột Thu thành cột Chi.</t>
        </is>
      </c>
    </row>
    <row r="12">
      <c r="B12" s="11" t="inlineStr">
        <is>
          <t>5. Thêm dòng khi hết chỗ</t>
        </is>
      </c>
    </row>
    <row r="13">
      <c r="B13" s="9" t="inlineStr">
        <is>
          <t xml:space="preserve">   Nhập tiếp vào các dòng trống bên dưới vì công thức đã có sẵn. Nếu hết dòng trống, bôi đen dòng cuối rồi kéo nút vuông nhỏ ở góc dưới bên phải xuống thêm — công thức tồn quỹ trỏ theo dòng tương đối nên kéo xuống vẫn đúng.</t>
        </is>
      </c>
    </row>
    <row r="14">
      <c r="B14" s="9" t="inlineStr"/>
    </row>
    <row r="15">
      <c r="B15" s="10" t="inlineStr">
        <is>
          <t>CÔNG THỨC TRONG FILE</t>
        </is>
      </c>
    </row>
    <row r="16">
      <c r="B16" s="11" t="inlineStr">
        <is>
          <t>Tồn quỹ  —  =IF(D2="","",N(H1)+F2-G2)</t>
        </is>
      </c>
    </row>
    <row r="17">
      <c r="B17" s="9" t="inlineStr">
        <is>
          <t xml:space="preserve">   Lấy tồn quỹ của dòng ngay trên cộng số thu rồi trừ số chi của chính dòng này. Hàm N đọc ô tiêu đề ở dòng đầu tiên thành 0 nên cả cột dùng chung một công thức. Vì công thức trỏ lên đúng một dòng, sổ phải ghi liên tục, không chừa dòng trống ở giữa.</t>
        </is>
      </c>
    </row>
    <row r="18">
      <c r="B18" s="11" t="inlineStr">
        <is>
          <t>Cảnh báo  —  =IF(D2="","",IF(H2&lt;0,"Âm quỹ - kiểm tra lại",IF(AND(F2=0,G2=0),"Chưa nhập số tiền","Hợp lệ")))</t>
        </is>
      </c>
    </row>
    <row r="19">
      <c r="B19" s="9" t="inlineStr">
        <is>
          <t xml:space="preserve">   Bắt hai lỗi ghi sổ hay gặp nhất. Tồn quỹ âm nghĩa là có phiếu bị thiếu hoặc nhầm cột, vì tiền mặt trong két không thể âm. Dòng có diễn giải mà cả thu lẫn chi đều bằng 0 thường là dòng ghi dở dang, bỏ quên số tiền.</t>
        </is>
      </c>
    </row>
    <row r="20">
      <c r="B20" s="9" t="inlineStr"/>
    </row>
    <row r="21">
      <c r="B21" s="11" t="inlineStr">
        <is>
          <t>Bản cập nhật mới nhất và hướng dẫn chi tiết:</t>
        </is>
      </c>
    </row>
    <row r="22">
      <c r="B22" s="12" t="inlineStr">
        <is>
          <t>https://excel.nguyenvietloc.com/mau-excel/ke-toan/so-quy-tien-mat</t>
        </is>
      </c>
    </row>
  </sheetData>
  <hyperlinks>
    <hyperlink xmlns:r="http://schemas.openxmlformats.org/officeDocument/2006/relationships" ref="B2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2026-08-14T13:55:47Z</dcterms:created>
  <dcterms:modified xsi:type="dcterms:W3CDTF">2026-08-14T13:55:47Z</dcterms:modified>
</cp:coreProperties>
</file>