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heo dõi tạm ứng" sheetId="1" state="visible" r:id="rId1"/>
    <sheet name="Hướng dẫn" sheetId="2" state="visible" r:id="rId2"/>
  </sheets>
  <definedNames>
    <definedName name="_xlnm._FilterDatabase" localSheetId="0" hidden="1">'Theo dõi tạm ứng'!$A$1:$P$37</definedName>
  </definedNames>
  <calcPr calcId="124519" fullCalcOnLoad="1"/>
</workbook>
</file>

<file path=xl/styles.xml><?xml version="1.0" encoding="utf-8"?>
<styleSheet xmlns="http://schemas.openxmlformats.org/spreadsheetml/2006/main">
  <numFmts count="5">
    <numFmt numFmtId="164" formatCode="#,##0.##"/>
    <numFmt numFmtId="165" formatCode="yyyy-mm-dd"/>
    <numFmt numFmtId="166" formatCode="dd/mm/yyyy"/>
    <numFmt numFmtId="167" formatCode="#,##0 &quot;₫&quot;"/>
    <numFmt numFmtId="168" formatCode="0.0%"/>
  </numFmts>
  <fonts count="6">
    <font>
      <name val="Calibri"/>
      <family val="2"/>
      <color theme="1"/>
      <sz val="11"/>
      <scheme val="minor"/>
    </font>
    <font>
      <b val="1"/>
      <color rgb="00FFFFFF"/>
      <sz val="11"/>
    </font>
    <font>
      <b val="1"/>
      <sz val="14"/>
    </font>
    <font>
      <b val="1"/>
      <sz val="12"/>
    </font>
    <font>
      <b val="1"/>
    </font>
    <font>
      <color rgb="001D4ED8"/>
      <u val="single"/>
    </font>
  </fonts>
  <fills count="4">
    <fill>
      <patternFill/>
    </fill>
    <fill>
      <patternFill patternType="gray125"/>
    </fill>
    <fill>
      <patternFill patternType="solid">
        <fgColor rgb="001D4ED8"/>
      </patternFill>
    </fill>
    <fill>
      <patternFill patternType="solid">
        <fgColor rgb="00EFF6FF"/>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5">
    <xf numFmtId="0" fontId="0" fillId="0" borderId="0" pivotButton="0" quotePrefix="0" xfId="0"/>
    <xf numFmtId="0" fontId="1" fillId="2" borderId="1" applyAlignment="1" pivotButton="0" quotePrefix="0" xfId="0">
      <alignment horizontal="center" vertical="center" wrapText="1"/>
    </xf>
    <xf numFmtId="164" fontId="0" fillId="0" borderId="1" pivotButton="0" quotePrefix="0" xfId="0"/>
    <xf numFmtId="49" fontId="0" fillId="0" borderId="1" pivotButton="0" quotePrefix="0" xfId="0"/>
    <xf numFmtId="166" fontId="0" fillId="0" borderId="1" pivotButton="0" quotePrefix="0" xfId="0"/>
    <xf numFmtId="167" fontId="0" fillId="0" borderId="1" pivotButton="0" quotePrefix="0" xfId="0"/>
    <xf numFmtId="167" fontId="0" fillId="3" borderId="1" pivotButton="0" quotePrefix="0" xfId="0"/>
    <xf numFmtId="168" fontId="0" fillId="3" borderId="1" pivotButton="0" quotePrefix="0" xfId="0"/>
    <xf numFmtId="164" fontId="0" fillId="3" borderId="1" pivotButton="0" quotePrefix="0" xfId="0"/>
    <xf numFmtId="49" fontId="0" fillId="3" borderId="1" pivotButton="0" quotePrefix="0" xfId="0"/>
    <xf numFmtId="0" fontId="2" fillId="0" borderId="0" applyAlignment="1" pivotButton="0" quotePrefix="0" xfId="0">
      <alignment vertical="top" wrapText="1"/>
    </xf>
    <xf numFmtId="0" fontId="0"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excel.nguyenvietloc.com/mau-excel/ke-toan/bang-theo-doi-tam-ung" TargetMode="External" Id="rId1" /></Relationships>
</file>

<file path=xl/worksheets/sheet1.xml><?xml version="1.0" encoding="utf-8"?>
<worksheet xmlns="http://schemas.openxmlformats.org/spreadsheetml/2006/main">
  <sheetPr>
    <outlinePr summaryBelow="1" summaryRight="1"/>
    <pageSetUpPr/>
  </sheetPr>
  <dimension ref="A1:P37"/>
  <sheetViews>
    <sheetView workbookViewId="0">
      <pane ySplit="1" topLeftCell="A2" activePane="bottomLeft" state="frozen"/>
      <selection pane="bottomLeft" activeCell="A1" sqref="A1"/>
    </sheetView>
  </sheetViews>
  <sheetFormatPr baseColWidth="8" defaultRowHeight="15"/>
  <cols>
    <col width="6" customWidth="1" min="1" max="1"/>
    <col width="13" customWidth="1" min="2" max="2"/>
    <col width="12" customWidth="1" min="3" max="3"/>
    <col width="22" customWidth="1" min="4" max="4"/>
    <col width="18" customWidth="1" min="5" max="5"/>
    <col width="30" customWidth="1" min="6" max="6"/>
    <col width="18" customWidth="1" min="7" max="7"/>
    <col width="12" customWidth="1" min="8" max="8"/>
    <col width="13" customWidth="1" min="9" max="9"/>
    <col width="18" customWidth="1" min="10" max="10"/>
    <col width="16" customWidth="1" min="11" max="11"/>
    <col width="12" customWidth="1" min="12" max="12"/>
    <col width="18" customWidth="1" min="13" max="13"/>
    <col width="12" customWidth="1" min="14" max="14"/>
    <col width="13" customWidth="1" min="15" max="15"/>
    <col width="32" customWidth="1" min="16" max="16"/>
  </cols>
  <sheetData>
    <row r="1" ht="32" customHeight="1">
      <c r="A1" s="1" t="inlineStr">
        <is>
          <t>STT</t>
        </is>
      </c>
      <c r="B1" s="1" t="inlineStr">
        <is>
          <t>Số phiếu chi</t>
        </is>
      </c>
      <c r="C1" s="1" t="inlineStr">
        <is>
          <t>Ngày tạm ứng</t>
        </is>
      </c>
      <c r="D1" s="1" t="inlineStr">
        <is>
          <t>Người tạm ứng</t>
        </is>
      </c>
      <c r="E1" s="1" t="inlineStr">
        <is>
          <t>Bộ phận</t>
        </is>
      </c>
      <c r="F1" s="1" t="inlineStr">
        <is>
          <t>Lý do tạm ứng</t>
        </is>
      </c>
      <c r="G1" s="1" t="inlineStr">
        <is>
          <t>Số tiền tạm ứng</t>
        </is>
      </c>
      <c r="H1" s="1" t="inlineStr">
        <is>
          <t>Hạn hoàn ứng</t>
        </is>
      </c>
      <c r="I1" s="1" t="inlineStr">
        <is>
          <t>Ngày quyết toán</t>
        </is>
      </c>
      <c r="J1" s="1" t="inlineStr">
        <is>
          <t>Đã quyết toán</t>
        </is>
      </c>
      <c r="K1" s="1" t="inlineStr">
        <is>
          <t>Tiền hoàn lại</t>
        </is>
      </c>
      <c r="L1" s="1" t="inlineStr">
        <is>
          <t>Ngày chốt sổ</t>
        </is>
      </c>
      <c r="M1" s="1" t="inlineStr">
        <is>
          <t>Còn phải quyết toán</t>
        </is>
      </c>
      <c r="N1" s="1" t="inlineStr">
        <is>
          <t>Đã quyết toán</t>
        </is>
      </c>
      <c r="O1" s="1" t="inlineStr">
        <is>
          <t>Số ngày quá hạn</t>
        </is>
      </c>
      <c r="P1" s="1" t="inlineStr">
        <is>
          <t>Trạng thái</t>
        </is>
      </c>
    </row>
    <row r="2">
      <c r="A2" s="2" t="n">
        <v>1</v>
      </c>
      <c r="B2" s="3" t="inlineStr">
        <is>
          <t>PC-TU-071</t>
        </is>
      </c>
      <c r="C2" s="4" t="n">
        <v>46205</v>
      </c>
      <c r="D2" s="3" t="inlineStr">
        <is>
          <t>Nguyễn Văn Minh</t>
        </is>
      </c>
      <c r="E2" s="3" t="inlineStr">
        <is>
          <t>Kinh doanh</t>
        </is>
      </c>
      <c r="F2" s="3" t="inlineStr">
        <is>
          <t>Công tác Đà Nẵng gặp khách hàng</t>
        </is>
      </c>
      <c r="G2" s="5" t="n">
        <v>15000000</v>
      </c>
      <c r="H2" s="4" t="n">
        <v>46223</v>
      </c>
      <c r="I2" s="4" t="n">
        <v>46221</v>
      </c>
      <c r="J2" s="5" t="n">
        <v>12400000</v>
      </c>
      <c r="K2" s="5" t="n">
        <v>2600000</v>
      </c>
      <c r="L2" s="4" t="n">
        <v>46234</v>
      </c>
      <c r="M2" s="6">
        <f>IF(D2="","",G2-J2-K2)</f>
        <v/>
      </c>
      <c r="N2" s="7">
        <f>IF(D2="","",IFERROR((J2+K2)/G2,0))</f>
        <v/>
      </c>
      <c r="O2" s="8">
        <f>IF(D2="","",IF(M2&lt;=0,0,MAX(0,L2-H2)))</f>
        <v/>
      </c>
      <c r="P2" s="9">
        <f>IF(D2="","",IF(M2&lt;0,"Chi vượt - phải hoàn cho nhân viên",IF(M2=0,"Đã quyết toán xong",IF(O2=0,"Trong hạn",IF(O2&lt;=15,"Quá hạn 1-15 ngày","Quá hạn trên 15 ngày")))))</f>
        <v/>
      </c>
    </row>
    <row r="3">
      <c r="A3" s="2" t="n">
        <v>2</v>
      </c>
      <c r="B3" s="3" t="inlineStr">
        <is>
          <t>PC-TU-072</t>
        </is>
      </c>
      <c r="C3" s="4" t="n">
        <v>46207</v>
      </c>
      <c r="D3" s="3" t="inlineStr">
        <is>
          <t>Trần Thu Hà</t>
        </is>
      </c>
      <c r="E3" s="3" t="inlineStr">
        <is>
          <t>Hành chính nhân sự</t>
        </is>
      </c>
      <c r="F3" s="3" t="inlineStr">
        <is>
          <t>Mua vật tư văn phòng quý III</t>
        </is>
      </c>
      <c r="G3" s="5" t="n">
        <v>8000000</v>
      </c>
      <c r="H3" s="4" t="n">
        <v>46218</v>
      </c>
      <c r="I3" s="4" t="n">
        <v>46225</v>
      </c>
      <c r="J3" s="5" t="n">
        <v>8000000</v>
      </c>
      <c r="K3" s="5" t="n">
        <v>0</v>
      </c>
      <c r="L3" s="4" t="n">
        <v>46234</v>
      </c>
      <c r="M3" s="6">
        <f>IF(D3="","",G3-J3-K3)</f>
        <v/>
      </c>
      <c r="N3" s="7">
        <f>IF(D3="","",IFERROR((J3+K3)/G3,0))</f>
        <v/>
      </c>
      <c r="O3" s="8">
        <f>IF(D3="","",IF(M3&lt;=0,0,MAX(0,L3-H3)))</f>
        <v/>
      </c>
      <c r="P3" s="9">
        <f>IF(D3="","",IF(M3&lt;0,"Chi vượt - phải hoàn cho nhân viên",IF(M3=0,"Đã quyết toán xong",IF(O3=0,"Trong hạn",IF(O3&lt;=15,"Quá hạn 1-15 ngày","Quá hạn trên 15 ngày")))))</f>
        <v/>
      </c>
    </row>
    <row r="4">
      <c r="A4" s="2" t="n">
        <v>3</v>
      </c>
      <c r="B4" s="3" t="inlineStr">
        <is>
          <t>PC-TU-073</t>
        </is>
      </c>
      <c r="C4" s="4" t="n">
        <v>46201</v>
      </c>
      <c r="D4" s="3" t="inlineStr">
        <is>
          <t>Lê Quốc Bảo</t>
        </is>
      </c>
      <c r="E4" s="3" t="inlineStr">
        <is>
          <t>Kinh doanh</t>
        </is>
      </c>
      <c r="F4" s="3" t="inlineStr">
        <is>
          <t>Chi phí tiếp khách hội chợ ngành</t>
        </is>
      </c>
      <c r="G4" s="5" t="n">
        <v>20000000</v>
      </c>
      <c r="H4" s="4" t="n">
        <v>46213</v>
      </c>
      <c r="I4" s="4" t="n"/>
      <c r="J4" s="5" t="n">
        <v>0</v>
      </c>
      <c r="K4" s="5" t="n">
        <v>0</v>
      </c>
      <c r="L4" s="4" t="n">
        <v>46234</v>
      </c>
      <c r="M4" s="6">
        <f>IF(D4="","",G4-J4-K4)</f>
        <v/>
      </c>
      <c r="N4" s="7">
        <f>IF(D4="","",IFERROR((J4+K4)/G4,0))</f>
        <v/>
      </c>
      <c r="O4" s="8">
        <f>IF(D4="","",IF(M4&lt;=0,0,MAX(0,L4-H4)))</f>
        <v/>
      </c>
      <c r="P4" s="9">
        <f>IF(D4="","",IF(M4&lt;0,"Chi vượt - phải hoàn cho nhân viên",IF(M4=0,"Đã quyết toán xong",IF(O4=0,"Trong hạn",IF(O4&lt;=15,"Quá hạn 1-15 ngày","Quá hạn trên 15 ngày")))))</f>
        <v/>
      </c>
    </row>
    <row r="5">
      <c r="A5" s="2" t="n">
        <v>4</v>
      </c>
      <c r="B5" s="3" t="inlineStr">
        <is>
          <t>PC-TU-074</t>
        </is>
      </c>
      <c r="C5" s="4" t="n">
        <v>46224</v>
      </c>
      <c r="D5" s="3" t="inlineStr">
        <is>
          <t>Phạm Thị Lan</t>
        </is>
      </c>
      <c r="E5" s="3" t="inlineStr">
        <is>
          <t>Kỹ thuật</t>
        </is>
      </c>
      <c r="F5" s="3" t="inlineStr">
        <is>
          <t>Công tác Hà Nội nghiệm thu công trình</t>
        </is>
      </c>
      <c r="G5" s="5" t="n">
        <v>12000000</v>
      </c>
      <c r="H5" s="4" t="n">
        <v>46239</v>
      </c>
      <c r="I5" s="4" t="n"/>
      <c r="J5" s="5" t="n">
        <v>0</v>
      </c>
      <c r="K5" s="5" t="n">
        <v>0</v>
      </c>
      <c r="L5" s="4" t="n">
        <v>46234</v>
      </c>
      <c r="M5" s="6">
        <f>IF(D5="","",G5-J5-K5)</f>
        <v/>
      </c>
      <c r="N5" s="7">
        <f>IF(D5="","",IFERROR((J5+K5)/G5,0))</f>
        <v/>
      </c>
      <c r="O5" s="8">
        <f>IF(D5="","",IF(M5&lt;=0,0,MAX(0,L5-H5)))</f>
        <v/>
      </c>
      <c r="P5" s="9">
        <f>IF(D5="","",IF(M5&lt;0,"Chi vượt - phải hoàn cho nhân viên",IF(M5=0,"Đã quyết toán xong",IF(O5=0,"Trong hạn",IF(O5&lt;=15,"Quá hạn 1-15 ngày","Quá hạn trên 15 ngày")))))</f>
        <v/>
      </c>
    </row>
    <row r="6">
      <c r="A6" s="2" t="n">
        <v>5</v>
      </c>
      <c r="B6" s="3" t="inlineStr">
        <is>
          <t>PC-TU-075</t>
        </is>
      </c>
      <c r="C6" s="4" t="n">
        <v>46211</v>
      </c>
      <c r="D6" s="3" t="inlineStr">
        <is>
          <t>Đỗ Hoàng Nam</t>
        </is>
      </c>
      <c r="E6" s="3" t="inlineStr">
        <is>
          <t>Sản xuất</t>
        </is>
      </c>
      <c r="F6" s="3" t="inlineStr">
        <is>
          <t>Mua thiết bị thay thế khẩn cấp cho xưởng</t>
        </is>
      </c>
      <c r="G6" s="5" t="n">
        <v>30000000</v>
      </c>
      <c r="H6" s="4" t="n">
        <v>46228</v>
      </c>
      <c r="I6" s="4" t="n">
        <v>46227</v>
      </c>
      <c r="J6" s="5" t="n">
        <v>34500000</v>
      </c>
      <c r="K6" s="5" t="n">
        <v>0</v>
      </c>
      <c r="L6" s="4" t="n">
        <v>46234</v>
      </c>
      <c r="M6" s="6">
        <f>IF(D6="","",G6-J6-K6)</f>
        <v/>
      </c>
      <c r="N6" s="7">
        <f>IF(D6="","",IFERROR((J6+K6)/G6,0))</f>
        <v/>
      </c>
      <c r="O6" s="8">
        <f>IF(D6="","",IF(M6&lt;=0,0,MAX(0,L6-H6)))</f>
        <v/>
      </c>
      <c r="P6" s="9">
        <f>IF(D6="","",IF(M6&lt;0,"Chi vượt - phải hoàn cho nhân viên",IF(M6=0,"Đã quyết toán xong",IF(O6=0,"Trong hạn",IF(O6&lt;=15,"Quá hạn 1-15 ngày","Quá hạn trên 15 ngày")))))</f>
        <v/>
      </c>
    </row>
    <row r="7">
      <c r="A7" s="2" t="n">
        <v>6</v>
      </c>
      <c r="B7" s="3" t="inlineStr">
        <is>
          <t>PC-TU-076</t>
        </is>
      </c>
      <c r="C7" s="4" t="n">
        <v>46215</v>
      </c>
      <c r="D7" s="3" t="inlineStr">
        <is>
          <t>Vũ Minh Châu</t>
        </is>
      </c>
      <c r="E7" s="3" t="inlineStr">
        <is>
          <t>Kế toán</t>
        </is>
      </c>
      <c r="F7" s="3" t="inlineStr">
        <is>
          <t>Học phí khóa đào tạo nghiệp vụ</t>
        </is>
      </c>
      <c r="G7" s="5" t="n">
        <v>6000000</v>
      </c>
      <c r="H7" s="4" t="n">
        <v>46231</v>
      </c>
      <c r="I7" s="4" t="n"/>
      <c r="J7" s="5" t="n">
        <v>3500000</v>
      </c>
      <c r="K7" s="5" t="n">
        <v>0</v>
      </c>
      <c r="L7" s="4" t="n">
        <v>46234</v>
      </c>
      <c r="M7" s="6">
        <f>IF(D7="","",G7-J7-K7)</f>
        <v/>
      </c>
      <c r="N7" s="7">
        <f>IF(D7="","",IFERROR((J7+K7)/G7,0))</f>
        <v/>
      </c>
      <c r="O7" s="8">
        <f>IF(D7="","",IF(M7&lt;=0,0,MAX(0,L7-H7)))</f>
        <v/>
      </c>
      <c r="P7" s="9">
        <f>IF(D7="","",IF(M7&lt;0,"Chi vượt - phải hoàn cho nhân viên",IF(M7=0,"Đã quyết toán xong",IF(O7=0,"Trong hạn",IF(O7&lt;=15,"Quá hạn 1-15 ngày","Quá hạn trên 15 ngày")))))</f>
        <v/>
      </c>
    </row>
    <row r="8">
      <c r="A8" s="2" t="n"/>
      <c r="B8" s="3" t="n"/>
      <c r="C8" s="4" t="n"/>
      <c r="D8" s="3" t="n"/>
      <c r="E8" s="3" t="n"/>
      <c r="F8" s="3" t="n"/>
      <c r="G8" s="5" t="n"/>
      <c r="H8" s="4" t="n"/>
      <c r="I8" s="4" t="n"/>
      <c r="J8" s="5" t="n"/>
      <c r="K8" s="5" t="n"/>
      <c r="L8" s="4" t="n"/>
      <c r="M8" s="6">
        <f>IF(D8="","",G8-J8-K8)</f>
        <v/>
      </c>
      <c r="N8" s="7">
        <f>IF(D8="","",IFERROR((J8+K8)/G8,0))</f>
        <v/>
      </c>
      <c r="O8" s="8">
        <f>IF(D8="","",IF(M8&lt;=0,0,MAX(0,L8-H8)))</f>
        <v/>
      </c>
      <c r="P8" s="9">
        <f>IF(D8="","",IF(M8&lt;0,"Chi vượt - phải hoàn cho nhân viên",IF(M8=0,"Đã quyết toán xong",IF(O8=0,"Trong hạn",IF(O8&lt;=15,"Quá hạn 1-15 ngày","Quá hạn trên 15 ngày")))))</f>
        <v/>
      </c>
    </row>
    <row r="9">
      <c r="A9" s="2" t="n"/>
      <c r="B9" s="3" t="n"/>
      <c r="C9" s="4" t="n"/>
      <c r="D9" s="3" t="n"/>
      <c r="E9" s="3" t="n"/>
      <c r="F9" s="3" t="n"/>
      <c r="G9" s="5" t="n"/>
      <c r="H9" s="4" t="n"/>
      <c r="I9" s="4" t="n"/>
      <c r="J9" s="5" t="n"/>
      <c r="K9" s="5" t="n"/>
      <c r="L9" s="4" t="n"/>
      <c r="M9" s="6">
        <f>IF(D9="","",G9-J9-K9)</f>
        <v/>
      </c>
      <c r="N9" s="7">
        <f>IF(D9="","",IFERROR((J9+K9)/G9,0))</f>
        <v/>
      </c>
      <c r="O9" s="8">
        <f>IF(D9="","",IF(M9&lt;=0,0,MAX(0,L9-H9)))</f>
        <v/>
      </c>
      <c r="P9" s="9">
        <f>IF(D9="","",IF(M9&lt;0,"Chi vượt - phải hoàn cho nhân viên",IF(M9=0,"Đã quyết toán xong",IF(O9=0,"Trong hạn",IF(O9&lt;=15,"Quá hạn 1-15 ngày","Quá hạn trên 15 ngày")))))</f>
        <v/>
      </c>
    </row>
    <row r="10">
      <c r="A10" s="2" t="n"/>
      <c r="B10" s="3" t="n"/>
      <c r="C10" s="4" t="n"/>
      <c r="D10" s="3" t="n"/>
      <c r="E10" s="3" t="n"/>
      <c r="F10" s="3" t="n"/>
      <c r="G10" s="5" t="n"/>
      <c r="H10" s="4" t="n"/>
      <c r="I10" s="4" t="n"/>
      <c r="J10" s="5" t="n"/>
      <c r="K10" s="5" t="n"/>
      <c r="L10" s="4" t="n"/>
      <c r="M10" s="6">
        <f>IF(D10="","",G10-J10-K10)</f>
        <v/>
      </c>
      <c r="N10" s="7">
        <f>IF(D10="","",IFERROR((J10+K10)/G10,0))</f>
        <v/>
      </c>
      <c r="O10" s="8">
        <f>IF(D10="","",IF(M10&lt;=0,0,MAX(0,L10-H10)))</f>
        <v/>
      </c>
      <c r="P10" s="9">
        <f>IF(D10="","",IF(M10&lt;0,"Chi vượt - phải hoàn cho nhân viên",IF(M10=0,"Đã quyết toán xong",IF(O10=0,"Trong hạn",IF(O10&lt;=15,"Quá hạn 1-15 ngày","Quá hạn trên 15 ngày")))))</f>
        <v/>
      </c>
    </row>
    <row r="11">
      <c r="A11" s="2" t="n"/>
      <c r="B11" s="3" t="n"/>
      <c r="C11" s="4" t="n"/>
      <c r="D11" s="3" t="n"/>
      <c r="E11" s="3" t="n"/>
      <c r="F11" s="3" t="n"/>
      <c r="G11" s="5" t="n"/>
      <c r="H11" s="4" t="n"/>
      <c r="I11" s="4" t="n"/>
      <c r="J11" s="5" t="n"/>
      <c r="K11" s="5" t="n"/>
      <c r="L11" s="4" t="n"/>
      <c r="M11" s="6">
        <f>IF(D11="","",G11-J11-K11)</f>
        <v/>
      </c>
      <c r="N11" s="7">
        <f>IF(D11="","",IFERROR((J11+K11)/G11,0))</f>
        <v/>
      </c>
      <c r="O11" s="8">
        <f>IF(D11="","",IF(M11&lt;=0,0,MAX(0,L11-H11)))</f>
        <v/>
      </c>
      <c r="P11" s="9">
        <f>IF(D11="","",IF(M11&lt;0,"Chi vượt - phải hoàn cho nhân viên",IF(M11=0,"Đã quyết toán xong",IF(O11=0,"Trong hạn",IF(O11&lt;=15,"Quá hạn 1-15 ngày","Quá hạn trên 15 ngày")))))</f>
        <v/>
      </c>
    </row>
    <row r="12">
      <c r="A12" s="2" t="n"/>
      <c r="B12" s="3" t="n"/>
      <c r="C12" s="4" t="n"/>
      <c r="D12" s="3" t="n"/>
      <c r="E12" s="3" t="n"/>
      <c r="F12" s="3" t="n"/>
      <c r="G12" s="5" t="n"/>
      <c r="H12" s="4" t="n"/>
      <c r="I12" s="4" t="n"/>
      <c r="J12" s="5" t="n"/>
      <c r="K12" s="5" t="n"/>
      <c r="L12" s="4" t="n"/>
      <c r="M12" s="6">
        <f>IF(D12="","",G12-J12-K12)</f>
        <v/>
      </c>
      <c r="N12" s="7">
        <f>IF(D12="","",IFERROR((J12+K12)/G12,0))</f>
        <v/>
      </c>
      <c r="O12" s="8">
        <f>IF(D12="","",IF(M12&lt;=0,0,MAX(0,L12-H12)))</f>
        <v/>
      </c>
      <c r="P12" s="9">
        <f>IF(D12="","",IF(M12&lt;0,"Chi vượt - phải hoàn cho nhân viên",IF(M12=0,"Đã quyết toán xong",IF(O12=0,"Trong hạn",IF(O12&lt;=15,"Quá hạn 1-15 ngày","Quá hạn trên 15 ngày")))))</f>
        <v/>
      </c>
    </row>
    <row r="13">
      <c r="A13" s="2" t="n"/>
      <c r="B13" s="3" t="n"/>
      <c r="C13" s="4" t="n"/>
      <c r="D13" s="3" t="n"/>
      <c r="E13" s="3" t="n"/>
      <c r="F13" s="3" t="n"/>
      <c r="G13" s="5" t="n"/>
      <c r="H13" s="4" t="n"/>
      <c r="I13" s="4" t="n"/>
      <c r="J13" s="5" t="n"/>
      <c r="K13" s="5" t="n"/>
      <c r="L13" s="4" t="n"/>
      <c r="M13" s="6">
        <f>IF(D13="","",G13-J13-K13)</f>
        <v/>
      </c>
      <c r="N13" s="7">
        <f>IF(D13="","",IFERROR((J13+K13)/G13,0))</f>
        <v/>
      </c>
      <c r="O13" s="8">
        <f>IF(D13="","",IF(M13&lt;=0,0,MAX(0,L13-H13)))</f>
        <v/>
      </c>
      <c r="P13" s="9">
        <f>IF(D13="","",IF(M13&lt;0,"Chi vượt - phải hoàn cho nhân viên",IF(M13=0,"Đã quyết toán xong",IF(O13=0,"Trong hạn",IF(O13&lt;=15,"Quá hạn 1-15 ngày","Quá hạn trên 15 ngày")))))</f>
        <v/>
      </c>
    </row>
    <row r="14">
      <c r="A14" s="2" t="n"/>
      <c r="B14" s="3" t="n"/>
      <c r="C14" s="4" t="n"/>
      <c r="D14" s="3" t="n"/>
      <c r="E14" s="3" t="n"/>
      <c r="F14" s="3" t="n"/>
      <c r="G14" s="5" t="n"/>
      <c r="H14" s="4" t="n"/>
      <c r="I14" s="4" t="n"/>
      <c r="J14" s="5" t="n"/>
      <c r="K14" s="5" t="n"/>
      <c r="L14" s="4" t="n"/>
      <c r="M14" s="6">
        <f>IF(D14="","",G14-J14-K14)</f>
        <v/>
      </c>
      <c r="N14" s="7">
        <f>IF(D14="","",IFERROR((J14+K14)/G14,0))</f>
        <v/>
      </c>
      <c r="O14" s="8">
        <f>IF(D14="","",IF(M14&lt;=0,0,MAX(0,L14-H14)))</f>
        <v/>
      </c>
      <c r="P14" s="9">
        <f>IF(D14="","",IF(M14&lt;0,"Chi vượt - phải hoàn cho nhân viên",IF(M14=0,"Đã quyết toán xong",IF(O14=0,"Trong hạn",IF(O14&lt;=15,"Quá hạn 1-15 ngày","Quá hạn trên 15 ngày")))))</f>
        <v/>
      </c>
    </row>
    <row r="15">
      <c r="A15" s="2" t="n"/>
      <c r="B15" s="3" t="n"/>
      <c r="C15" s="4" t="n"/>
      <c r="D15" s="3" t="n"/>
      <c r="E15" s="3" t="n"/>
      <c r="F15" s="3" t="n"/>
      <c r="G15" s="5" t="n"/>
      <c r="H15" s="4" t="n"/>
      <c r="I15" s="4" t="n"/>
      <c r="J15" s="5" t="n"/>
      <c r="K15" s="5" t="n"/>
      <c r="L15" s="4" t="n"/>
      <c r="M15" s="6">
        <f>IF(D15="","",G15-J15-K15)</f>
        <v/>
      </c>
      <c r="N15" s="7">
        <f>IF(D15="","",IFERROR((J15+K15)/G15,0))</f>
        <v/>
      </c>
      <c r="O15" s="8">
        <f>IF(D15="","",IF(M15&lt;=0,0,MAX(0,L15-H15)))</f>
        <v/>
      </c>
      <c r="P15" s="9">
        <f>IF(D15="","",IF(M15&lt;0,"Chi vượt - phải hoàn cho nhân viên",IF(M15=0,"Đã quyết toán xong",IF(O15=0,"Trong hạn",IF(O15&lt;=15,"Quá hạn 1-15 ngày","Quá hạn trên 15 ngày")))))</f>
        <v/>
      </c>
    </row>
    <row r="16">
      <c r="A16" s="2" t="n"/>
      <c r="B16" s="3" t="n"/>
      <c r="C16" s="4" t="n"/>
      <c r="D16" s="3" t="n"/>
      <c r="E16" s="3" t="n"/>
      <c r="F16" s="3" t="n"/>
      <c r="G16" s="5" t="n"/>
      <c r="H16" s="4" t="n"/>
      <c r="I16" s="4" t="n"/>
      <c r="J16" s="5" t="n"/>
      <c r="K16" s="5" t="n"/>
      <c r="L16" s="4" t="n"/>
      <c r="M16" s="6">
        <f>IF(D16="","",G16-J16-K16)</f>
        <v/>
      </c>
      <c r="N16" s="7">
        <f>IF(D16="","",IFERROR((J16+K16)/G16,0))</f>
        <v/>
      </c>
      <c r="O16" s="8">
        <f>IF(D16="","",IF(M16&lt;=0,0,MAX(0,L16-H16)))</f>
        <v/>
      </c>
      <c r="P16" s="9">
        <f>IF(D16="","",IF(M16&lt;0,"Chi vượt - phải hoàn cho nhân viên",IF(M16=0,"Đã quyết toán xong",IF(O16=0,"Trong hạn",IF(O16&lt;=15,"Quá hạn 1-15 ngày","Quá hạn trên 15 ngày")))))</f>
        <v/>
      </c>
    </row>
    <row r="17">
      <c r="A17" s="2" t="n"/>
      <c r="B17" s="3" t="n"/>
      <c r="C17" s="4" t="n"/>
      <c r="D17" s="3" t="n"/>
      <c r="E17" s="3" t="n"/>
      <c r="F17" s="3" t="n"/>
      <c r="G17" s="5" t="n"/>
      <c r="H17" s="4" t="n"/>
      <c r="I17" s="4" t="n"/>
      <c r="J17" s="5" t="n"/>
      <c r="K17" s="5" t="n"/>
      <c r="L17" s="4" t="n"/>
      <c r="M17" s="6">
        <f>IF(D17="","",G17-J17-K17)</f>
        <v/>
      </c>
      <c r="N17" s="7">
        <f>IF(D17="","",IFERROR((J17+K17)/G17,0))</f>
        <v/>
      </c>
      <c r="O17" s="8">
        <f>IF(D17="","",IF(M17&lt;=0,0,MAX(0,L17-H17)))</f>
        <v/>
      </c>
      <c r="P17" s="9">
        <f>IF(D17="","",IF(M17&lt;0,"Chi vượt - phải hoàn cho nhân viên",IF(M17=0,"Đã quyết toán xong",IF(O17=0,"Trong hạn",IF(O17&lt;=15,"Quá hạn 1-15 ngày","Quá hạn trên 15 ngày")))))</f>
        <v/>
      </c>
    </row>
    <row r="18">
      <c r="A18" s="2" t="n"/>
      <c r="B18" s="3" t="n"/>
      <c r="C18" s="4" t="n"/>
      <c r="D18" s="3" t="n"/>
      <c r="E18" s="3" t="n"/>
      <c r="F18" s="3" t="n"/>
      <c r="G18" s="5" t="n"/>
      <c r="H18" s="4" t="n"/>
      <c r="I18" s="4" t="n"/>
      <c r="J18" s="5" t="n"/>
      <c r="K18" s="5" t="n"/>
      <c r="L18" s="4" t="n"/>
      <c r="M18" s="6">
        <f>IF(D18="","",G18-J18-K18)</f>
        <v/>
      </c>
      <c r="N18" s="7">
        <f>IF(D18="","",IFERROR((J18+K18)/G18,0))</f>
        <v/>
      </c>
      <c r="O18" s="8">
        <f>IF(D18="","",IF(M18&lt;=0,0,MAX(0,L18-H18)))</f>
        <v/>
      </c>
      <c r="P18" s="9">
        <f>IF(D18="","",IF(M18&lt;0,"Chi vượt - phải hoàn cho nhân viên",IF(M18=0,"Đã quyết toán xong",IF(O18=0,"Trong hạn",IF(O18&lt;=15,"Quá hạn 1-15 ngày","Quá hạn trên 15 ngày")))))</f>
        <v/>
      </c>
    </row>
    <row r="19">
      <c r="A19" s="2" t="n"/>
      <c r="B19" s="3" t="n"/>
      <c r="C19" s="4" t="n"/>
      <c r="D19" s="3" t="n"/>
      <c r="E19" s="3" t="n"/>
      <c r="F19" s="3" t="n"/>
      <c r="G19" s="5" t="n"/>
      <c r="H19" s="4" t="n"/>
      <c r="I19" s="4" t="n"/>
      <c r="J19" s="5" t="n"/>
      <c r="K19" s="5" t="n"/>
      <c r="L19" s="4" t="n"/>
      <c r="M19" s="6">
        <f>IF(D19="","",G19-J19-K19)</f>
        <v/>
      </c>
      <c r="N19" s="7">
        <f>IF(D19="","",IFERROR((J19+K19)/G19,0))</f>
        <v/>
      </c>
      <c r="O19" s="8">
        <f>IF(D19="","",IF(M19&lt;=0,0,MAX(0,L19-H19)))</f>
        <v/>
      </c>
      <c r="P19" s="9">
        <f>IF(D19="","",IF(M19&lt;0,"Chi vượt - phải hoàn cho nhân viên",IF(M19=0,"Đã quyết toán xong",IF(O19=0,"Trong hạn",IF(O19&lt;=15,"Quá hạn 1-15 ngày","Quá hạn trên 15 ngày")))))</f>
        <v/>
      </c>
    </row>
    <row r="20">
      <c r="A20" s="2" t="n"/>
      <c r="B20" s="3" t="n"/>
      <c r="C20" s="4" t="n"/>
      <c r="D20" s="3" t="n"/>
      <c r="E20" s="3" t="n"/>
      <c r="F20" s="3" t="n"/>
      <c r="G20" s="5" t="n"/>
      <c r="H20" s="4" t="n"/>
      <c r="I20" s="4" t="n"/>
      <c r="J20" s="5" t="n"/>
      <c r="K20" s="5" t="n"/>
      <c r="L20" s="4" t="n"/>
      <c r="M20" s="6">
        <f>IF(D20="","",G20-J20-K20)</f>
        <v/>
      </c>
      <c r="N20" s="7">
        <f>IF(D20="","",IFERROR((J20+K20)/G20,0))</f>
        <v/>
      </c>
      <c r="O20" s="8">
        <f>IF(D20="","",IF(M20&lt;=0,0,MAX(0,L20-H20)))</f>
        <v/>
      </c>
      <c r="P20" s="9">
        <f>IF(D20="","",IF(M20&lt;0,"Chi vượt - phải hoàn cho nhân viên",IF(M20=0,"Đã quyết toán xong",IF(O20=0,"Trong hạn",IF(O20&lt;=15,"Quá hạn 1-15 ngày","Quá hạn trên 15 ngày")))))</f>
        <v/>
      </c>
    </row>
    <row r="21">
      <c r="A21" s="2" t="n"/>
      <c r="B21" s="3" t="n"/>
      <c r="C21" s="4" t="n"/>
      <c r="D21" s="3" t="n"/>
      <c r="E21" s="3" t="n"/>
      <c r="F21" s="3" t="n"/>
      <c r="G21" s="5" t="n"/>
      <c r="H21" s="4" t="n"/>
      <c r="I21" s="4" t="n"/>
      <c r="J21" s="5" t="n"/>
      <c r="K21" s="5" t="n"/>
      <c r="L21" s="4" t="n"/>
      <c r="M21" s="6">
        <f>IF(D21="","",G21-J21-K21)</f>
        <v/>
      </c>
      <c r="N21" s="7">
        <f>IF(D21="","",IFERROR((J21+K21)/G21,0))</f>
        <v/>
      </c>
      <c r="O21" s="8">
        <f>IF(D21="","",IF(M21&lt;=0,0,MAX(0,L21-H21)))</f>
        <v/>
      </c>
      <c r="P21" s="9">
        <f>IF(D21="","",IF(M21&lt;0,"Chi vượt - phải hoàn cho nhân viên",IF(M21=0,"Đã quyết toán xong",IF(O21=0,"Trong hạn",IF(O21&lt;=15,"Quá hạn 1-15 ngày","Quá hạn trên 15 ngày")))))</f>
        <v/>
      </c>
    </row>
    <row r="22">
      <c r="A22" s="2" t="n"/>
      <c r="B22" s="3" t="n"/>
      <c r="C22" s="4" t="n"/>
      <c r="D22" s="3" t="n"/>
      <c r="E22" s="3" t="n"/>
      <c r="F22" s="3" t="n"/>
      <c r="G22" s="5" t="n"/>
      <c r="H22" s="4" t="n"/>
      <c r="I22" s="4" t="n"/>
      <c r="J22" s="5" t="n"/>
      <c r="K22" s="5" t="n"/>
      <c r="L22" s="4" t="n"/>
      <c r="M22" s="6">
        <f>IF(D22="","",G22-J22-K22)</f>
        <v/>
      </c>
      <c r="N22" s="7">
        <f>IF(D22="","",IFERROR((J22+K22)/G22,0))</f>
        <v/>
      </c>
      <c r="O22" s="8">
        <f>IF(D22="","",IF(M22&lt;=0,0,MAX(0,L22-H22)))</f>
        <v/>
      </c>
      <c r="P22" s="9">
        <f>IF(D22="","",IF(M22&lt;0,"Chi vượt - phải hoàn cho nhân viên",IF(M22=0,"Đã quyết toán xong",IF(O22=0,"Trong hạn",IF(O22&lt;=15,"Quá hạn 1-15 ngày","Quá hạn trên 15 ngày")))))</f>
        <v/>
      </c>
    </row>
    <row r="23">
      <c r="A23" s="2" t="n"/>
      <c r="B23" s="3" t="n"/>
      <c r="C23" s="4" t="n"/>
      <c r="D23" s="3" t="n"/>
      <c r="E23" s="3" t="n"/>
      <c r="F23" s="3" t="n"/>
      <c r="G23" s="5" t="n"/>
      <c r="H23" s="4" t="n"/>
      <c r="I23" s="4" t="n"/>
      <c r="J23" s="5" t="n"/>
      <c r="K23" s="5" t="n"/>
      <c r="L23" s="4" t="n"/>
      <c r="M23" s="6">
        <f>IF(D23="","",G23-J23-K23)</f>
        <v/>
      </c>
      <c r="N23" s="7">
        <f>IF(D23="","",IFERROR((J23+K23)/G23,0))</f>
        <v/>
      </c>
      <c r="O23" s="8">
        <f>IF(D23="","",IF(M23&lt;=0,0,MAX(0,L23-H23)))</f>
        <v/>
      </c>
      <c r="P23" s="9">
        <f>IF(D23="","",IF(M23&lt;0,"Chi vượt - phải hoàn cho nhân viên",IF(M23=0,"Đã quyết toán xong",IF(O23=0,"Trong hạn",IF(O23&lt;=15,"Quá hạn 1-15 ngày","Quá hạn trên 15 ngày")))))</f>
        <v/>
      </c>
    </row>
    <row r="24">
      <c r="A24" s="2" t="n"/>
      <c r="B24" s="3" t="n"/>
      <c r="C24" s="4" t="n"/>
      <c r="D24" s="3" t="n"/>
      <c r="E24" s="3" t="n"/>
      <c r="F24" s="3" t="n"/>
      <c r="G24" s="5" t="n"/>
      <c r="H24" s="4" t="n"/>
      <c r="I24" s="4" t="n"/>
      <c r="J24" s="5" t="n"/>
      <c r="K24" s="5" t="n"/>
      <c r="L24" s="4" t="n"/>
      <c r="M24" s="6">
        <f>IF(D24="","",G24-J24-K24)</f>
        <v/>
      </c>
      <c r="N24" s="7">
        <f>IF(D24="","",IFERROR((J24+K24)/G24,0))</f>
        <v/>
      </c>
      <c r="O24" s="8">
        <f>IF(D24="","",IF(M24&lt;=0,0,MAX(0,L24-H24)))</f>
        <v/>
      </c>
      <c r="P24" s="9">
        <f>IF(D24="","",IF(M24&lt;0,"Chi vượt - phải hoàn cho nhân viên",IF(M24=0,"Đã quyết toán xong",IF(O24=0,"Trong hạn",IF(O24&lt;=15,"Quá hạn 1-15 ngày","Quá hạn trên 15 ngày")))))</f>
        <v/>
      </c>
    </row>
    <row r="25">
      <c r="A25" s="2" t="n"/>
      <c r="B25" s="3" t="n"/>
      <c r="C25" s="4" t="n"/>
      <c r="D25" s="3" t="n"/>
      <c r="E25" s="3" t="n"/>
      <c r="F25" s="3" t="n"/>
      <c r="G25" s="5" t="n"/>
      <c r="H25" s="4" t="n"/>
      <c r="I25" s="4" t="n"/>
      <c r="J25" s="5" t="n"/>
      <c r="K25" s="5" t="n"/>
      <c r="L25" s="4" t="n"/>
      <c r="M25" s="6">
        <f>IF(D25="","",G25-J25-K25)</f>
        <v/>
      </c>
      <c r="N25" s="7">
        <f>IF(D25="","",IFERROR((J25+K25)/G25,0))</f>
        <v/>
      </c>
      <c r="O25" s="8">
        <f>IF(D25="","",IF(M25&lt;=0,0,MAX(0,L25-H25)))</f>
        <v/>
      </c>
      <c r="P25" s="9">
        <f>IF(D25="","",IF(M25&lt;0,"Chi vượt - phải hoàn cho nhân viên",IF(M25=0,"Đã quyết toán xong",IF(O25=0,"Trong hạn",IF(O25&lt;=15,"Quá hạn 1-15 ngày","Quá hạn trên 15 ngày")))))</f>
        <v/>
      </c>
    </row>
    <row r="26">
      <c r="A26" s="2" t="n"/>
      <c r="B26" s="3" t="n"/>
      <c r="C26" s="4" t="n"/>
      <c r="D26" s="3" t="n"/>
      <c r="E26" s="3" t="n"/>
      <c r="F26" s="3" t="n"/>
      <c r="G26" s="5" t="n"/>
      <c r="H26" s="4" t="n"/>
      <c r="I26" s="4" t="n"/>
      <c r="J26" s="5" t="n"/>
      <c r="K26" s="5" t="n"/>
      <c r="L26" s="4" t="n"/>
      <c r="M26" s="6">
        <f>IF(D26="","",G26-J26-K26)</f>
        <v/>
      </c>
      <c r="N26" s="7">
        <f>IF(D26="","",IFERROR((J26+K26)/G26,0))</f>
        <v/>
      </c>
      <c r="O26" s="8">
        <f>IF(D26="","",IF(M26&lt;=0,0,MAX(0,L26-H26)))</f>
        <v/>
      </c>
      <c r="P26" s="9">
        <f>IF(D26="","",IF(M26&lt;0,"Chi vượt - phải hoàn cho nhân viên",IF(M26=0,"Đã quyết toán xong",IF(O26=0,"Trong hạn",IF(O26&lt;=15,"Quá hạn 1-15 ngày","Quá hạn trên 15 ngày")))))</f>
        <v/>
      </c>
    </row>
    <row r="27">
      <c r="A27" s="2" t="n"/>
      <c r="B27" s="3" t="n"/>
      <c r="C27" s="4" t="n"/>
      <c r="D27" s="3" t="n"/>
      <c r="E27" s="3" t="n"/>
      <c r="F27" s="3" t="n"/>
      <c r="G27" s="5" t="n"/>
      <c r="H27" s="4" t="n"/>
      <c r="I27" s="4" t="n"/>
      <c r="J27" s="5" t="n"/>
      <c r="K27" s="5" t="n"/>
      <c r="L27" s="4" t="n"/>
      <c r="M27" s="6">
        <f>IF(D27="","",G27-J27-K27)</f>
        <v/>
      </c>
      <c r="N27" s="7">
        <f>IF(D27="","",IFERROR((J27+K27)/G27,0))</f>
        <v/>
      </c>
      <c r="O27" s="8">
        <f>IF(D27="","",IF(M27&lt;=0,0,MAX(0,L27-H27)))</f>
        <v/>
      </c>
      <c r="P27" s="9">
        <f>IF(D27="","",IF(M27&lt;0,"Chi vượt - phải hoàn cho nhân viên",IF(M27=0,"Đã quyết toán xong",IF(O27=0,"Trong hạn",IF(O27&lt;=15,"Quá hạn 1-15 ngày","Quá hạn trên 15 ngày")))))</f>
        <v/>
      </c>
    </row>
    <row r="28">
      <c r="A28" s="2" t="n"/>
      <c r="B28" s="3" t="n"/>
      <c r="C28" s="4" t="n"/>
      <c r="D28" s="3" t="n"/>
      <c r="E28" s="3" t="n"/>
      <c r="F28" s="3" t="n"/>
      <c r="G28" s="5" t="n"/>
      <c r="H28" s="4" t="n"/>
      <c r="I28" s="4" t="n"/>
      <c r="J28" s="5" t="n"/>
      <c r="K28" s="5" t="n"/>
      <c r="L28" s="4" t="n"/>
      <c r="M28" s="6">
        <f>IF(D28="","",G28-J28-K28)</f>
        <v/>
      </c>
      <c r="N28" s="7">
        <f>IF(D28="","",IFERROR((J28+K28)/G28,0))</f>
        <v/>
      </c>
      <c r="O28" s="8">
        <f>IF(D28="","",IF(M28&lt;=0,0,MAX(0,L28-H28)))</f>
        <v/>
      </c>
      <c r="P28" s="9">
        <f>IF(D28="","",IF(M28&lt;0,"Chi vượt - phải hoàn cho nhân viên",IF(M28=0,"Đã quyết toán xong",IF(O28=0,"Trong hạn",IF(O28&lt;=15,"Quá hạn 1-15 ngày","Quá hạn trên 15 ngày")))))</f>
        <v/>
      </c>
    </row>
    <row r="29">
      <c r="A29" s="2" t="n"/>
      <c r="B29" s="3" t="n"/>
      <c r="C29" s="4" t="n"/>
      <c r="D29" s="3" t="n"/>
      <c r="E29" s="3" t="n"/>
      <c r="F29" s="3" t="n"/>
      <c r="G29" s="5" t="n"/>
      <c r="H29" s="4" t="n"/>
      <c r="I29" s="4" t="n"/>
      <c r="J29" s="5" t="n"/>
      <c r="K29" s="5" t="n"/>
      <c r="L29" s="4" t="n"/>
      <c r="M29" s="6">
        <f>IF(D29="","",G29-J29-K29)</f>
        <v/>
      </c>
      <c r="N29" s="7">
        <f>IF(D29="","",IFERROR((J29+K29)/G29,0))</f>
        <v/>
      </c>
      <c r="O29" s="8">
        <f>IF(D29="","",IF(M29&lt;=0,0,MAX(0,L29-H29)))</f>
        <v/>
      </c>
      <c r="P29" s="9">
        <f>IF(D29="","",IF(M29&lt;0,"Chi vượt - phải hoàn cho nhân viên",IF(M29=0,"Đã quyết toán xong",IF(O29=0,"Trong hạn",IF(O29&lt;=15,"Quá hạn 1-15 ngày","Quá hạn trên 15 ngày")))))</f>
        <v/>
      </c>
    </row>
    <row r="30">
      <c r="A30" s="2" t="n"/>
      <c r="B30" s="3" t="n"/>
      <c r="C30" s="4" t="n"/>
      <c r="D30" s="3" t="n"/>
      <c r="E30" s="3" t="n"/>
      <c r="F30" s="3" t="n"/>
      <c r="G30" s="5" t="n"/>
      <c r="H30" s="4" t="n"/>
      <c r="I30" s="4" t="n"/>
      <c r="J30" s="5" t="n"/>
      <c r="K30" s="5" t="n"/>
      <c r="L30" s="4" t="n"/>
      <c r="M30" s="6">
        <f>IF(D30="","",G30-J30-K30)</f>
        <v/>
      </c>
      <c r="N30" s="7">
        <f>IF(D30="","",IFERROR((J30+K30)/G30,0))</f>
        <v/>
      </c>
      <c r="O30" s="8">
        <f>IF(D30="","",IF(M30&lt;=0,0,MAX(0,L30-H30)))</f>
        <v/>
      </c>
      <c r="P30" s="9">
        <f>IF(D30="","",IF(M30&lt;0,"Chi vượt - phải hoàn cho nhân viên",IF(M30=0,"Đã quyết toán xong",IF(O30=0,"Trong hạn",IF(O30&lt;=15,"Quá hạn 1-15 ngày","Quá hạn trên 15 ngày")))))</f>
        <v/>
      </c>
    </row>
    <row r="31">
      <c r="A31" s="2" t="n"/>
      <c r="B31" s="3" t="n"/>
      <c r="C31" s="4" t="n"/>
      <c r="D31" s="3" t="n"/>
      <c r="E31" s="3" t="n"/>
      <c r="F31" s="3" t="n"/>
      <c r="G31" s="5" t="n"/>
      <c r="H31" s="4" t="n"/>
      <c r="I31" s="4" t="n"/>
      <c r="J31" s="5" t="n"/>
      <c r="K31" s="5" t="n"/>
      <c r="L31" s="4" t="n"/>
      <c r="M31" s="6">
        <f>IF(D31="","",G31-J31-K31)</f>
        <v/>
      </c>
      <c r="N31" s="7">
        <f>IF(D31="","",IFERROR((J31+K31)/G31,0))</f>
        <v/>
      </c>
      <c r="O31" s="8">
        <f>IF(D31="","",IF(M31&lt;=0,0,MAX(0,L31-H31)))</f>
        <v/>
      </c>
      <c r="P31" s="9">
        <f>IF(D31="","",IF(M31&lt;0,"Chi vượt - phải hoàn cho nhân viên",IF(M31=0,"Đã quyết toán xong",IF(O31=0,"Trong hạn",IF(O31&lt;=15,"Quá hạn 1-15 ngày","Quá hạn trên 15 ngày")))))</f>
        <v/>
      </c>
    </row>
    <row r="32">
      <c r="A32" s="2" t="n"/>
      <c r="B32" s="3" t="n"/>
      <c r="C32" s="4" t="n"/>
      <c r="D32" s="3" t="n"/>
      <c r="E32" s="3" t="n"/>
      <c r="F32" s="3" t="n"/>
      <c r="G32" s="5" t="n"/>
      <c r="H32" s="4" t="n"/>
      <c r="I32" s="4" t="n"/>
      <c r="J32" s="5" t="n"/>
      <c r="K32" s="5" t="n"/>
      <c r="L32" s="4" t="n"/>
      <c r="M32" s="6">
        <f>IF(D32="","",G32-J32-K32)</f>
        <v/>
      </c>
      <c r="N32" s="7">
        <f>IF(D32="","",IFERROR((J32+K32)/G32,0))</f>
        <v/>
      </c>
      <c r="O32" s="8">
        <f>IF(D32="","",IF(M32&lt;=0,0,MAX(0,L32-H32)))</f>
        <v/>
      </c>
      <c r="P32" s="9">
        <f>IF(D32="","",IF(M32&lt;0,"Chi vượt - phải hoàn cho nhân viên",IF(M32=0,"Đã quyết toán xong",IF(O32=0,"Trong hạn",IF(O32&lt;=15,"Quá hạn 1-15 ngày","Quá hạn trên 15 ngày")))))</f>
        <v/>
      </c>
    </row>
    <row r="33">
      <c r="A33" s="2" t="n"/>
      <c r="B33" s="3" t="n"/>
      <c r="C33" s="4" t="n"/>
      <c r="D33" s="3" t="n"/>
      <c r="E33" s="3" t="n"/>
      <c r="F33" s="3" t="n"/>
      <c r="G33" s="5" t="n"/>
      <c r="H33" s="4" t="n"/>
      <c r="I33" s="4" t="n"/>
      <c r="J33" s="5" t="n"/>
      <c r="K33" s="5" t="n"/>
      <c r="L33" s="4" t="n"/>
      <c r="M33" s="6">
        <f>IF(D33="","",G33-J33-K33)</f>
        <v/>
      </c>
      <c r="N33" s="7">
        <f>IF(D33="","",IFERROR((J33+K33)/G33,0))</f>
        <v/>
      </c>
      <c r="O33" s="8">
        <f>IF(D33="","",IF(M33&lt;=0,0,MAX(0,L33-H33)))</f>
        <v/>
      </c>
      <c r="P33" s="9">
        <f>IF(D33="","",IF(M33&lt;0,"Chi vượt - phải hoàn cho nhân viên",IF(M33=0,"Đã quyết toán xong",IF(O33=0,"Trong hạn",IF(O33&lt;=15,"Quá hạn 1-15 ngày","Quá hạn trên 15 ngày")))))</f>
        <v/>
      </c>
    </row>
    <row r="34">
      <c r="A34" s="2" t="n"/>
      <c r="B34" s="3" t="n"/>
      <c r="C34" s="4" t="n"/>
      <c r="D34" s="3" t="n"/>
      <c r="E34" s="3" t="n"/>
      <c r="F34" s="3" t="n"/>
      <c r="G34" s="5" t="n"/>
      <c r="H34" s="4" t="n"/>
      <c r="I34" s="4" t="n"/>
      <c r="J34" s="5" t="n"/>
      <c r="K34" s="5" t="n"/>
      <c r="L34" s="4" t="n"/>
      <c r="M34" s="6">
        <f>IF(D34="","",G34-J34-K34)</f>
        <v/>
      </c>
      <c r="N34" s="7">
        <f>IF(D34="","",IFERROR((J34+K34)/G34,0))</f>
        <v/>
      </c>
      <c r="O34" s="8">
        <f>IF(D34="","",IF(M34&lt;=0,0,MAX(0,L34-H34)))</f>
        <v/>
      </c>
      <c r="P34" s="9">
        <f>IF(D34="","",IF(M34&lt;0,"Chi vượt - phải hoàn cho nhân viên",IF(M34=0,"Đã quyết toán xong",IF(O34=0,"Trong hạn",IF(O34&lt;=15,"Quá hạn 1-15 ngày","Quá hạn trên 15 ngày")))))</f>
        <v/>
      </c>
    </row>
    <row r="35">
      <c r="A35" s="2" t="n"/>
      <c r="B35" s="3" t="n"/>
      <c r="C35" s="4" t="n"/>
      <c r="D35" s="3" t="n"/>
      <c r="E35" s="3" t="n"/>
      <c r="F35" s="3" t="n"/>
      <c r="G35" s="5" t="n"/>
      <c r="H35" s="4" t="n"/>
      <c r="I35" s="4" t="n"/>
      <c r="J35" s="5" t="n"/>
      <c r="K35" s="5" t="n"/>
      <c r="L35" s="4" t="n"/>
      <c r="M35" s="6">
        <f>IF(D35="","",G35-J35-K35)</f>
        <v/>
      </c>
      <c r="N35" s="7">
        <f>IF(D35="","",IFERROR((J35+K35)/G35,0))</f>
        <v/>
      </c>
      <c r="O35" s="8">
        <f>IF(D35="","",IF(M35&lt;=0,0,MAX(0,L35-H35)))</f>
        <v/>
      </c>
      <c r="P35" s="9">
        <f>IF(D35="","",IF(M35&lt;0,"Chi vượt - phải hoàn cho nhân viên",IF(M35=0,"Đã quyết toán xong",IF(O35=0,"Trong hạn",IF(O35&lt;=15,"Quá hạn 1-15 ngày","Quá hạn trên 15 ngày")))))</f>
        <v/>
      </c>
    </row>
    <row r="36">
      <c r="A36" s="2" t="n"/>
      <c r="B36" s="3" t="n"/>
      <c r="C36" s="4" t="n"/>
      <c r="D36" s="3" t="n"/>
      <c r="E36" s="3" t="n"/>
      <c r="F36" s="3" t="n"/>
      <c r="G36" s="5" t="n"/>
      <c r="H36" s="4" t="n"/>
      <c r="I36" s="4" t="n"/>
      <c r="J36" s="5" t="n"/>
      <c r="K36" s="5" t="n"/>
      <c r="L36" s="4" t="n"/>
      <c r="M36" s="6">
        <f>IF(D36="","",G36-J36-K36)</f>
        <v/>
      </c>
      <c r="N36" s="7">
        <f>IF(D36="","",IFERROR((J36+K36)/G36,0))</f>
        <v/>
      </c>
      <c r="O36" s="8">
        <f>IF(D36="","",IF(M36&lt;=0,0,MAX(0,L36-H36)))</f>
        <v/>
      </c>
      <c r="P36" s="9">
        <f>IF(D36="","",IF(M36&lt;0,"Chi vượt - phải hoàn cho nhân viên",IF(M36=0,"Đã quyết toán xong",IF(O36=0,"Trong hạn",IF(O36&lt;=15,"Quá hạn 1-15 ngày","Quá hạn trên 15 ngày")))))</f>
        <v/>
      </c>
    </row>
    <row r="37">
      <c r="A37" s="2" t="n"/>
      <c r="B37" s="3" t="n"/>
      <c r="C37" s="4" t="n"/>
      <c r="D37" s="3" t="n"/>
      <c r="E37" s="3" t="n"/>
      <c r="F37" s="3" t="n"/>
      <c r="G37" s="5" t="n"/>
      <c r="H37" s="4" t="n"/>
      <c r="I37" s="4" t="n"/>
      <c r="J37" s="5" t="n"/>
      <c r="K37" s="5" t="n"/>
      <c r="L37" s="4" t="n"/>
      <c r="M37" s="6">
        <f>IF(D37="","",G37-J37-K37)</f>
        <v/>
      </c>
      <c r="N37" s="7">
        <f>IF(D37="","",IFERROR((J37+K37)/G37,0))</f>
        <v/>
      </c>
      <c r="O37" s="8">
        <f>IF(D37="","",IF(M37&lt;=0,0,MAX(0,L37-H37)))</f>
        <v/>
      </c>
      <c r="P37" s="9">
        <f>IF(D37="","",IF(M37&lt;0,"Chi vượt - phải hoàn cho nhân viên",IF(M37=0,"Đã quyết toán xong",IF(O37=0,"Trong hạn",IF(O37&lt;=15,"Quá hạn 1-15 ngày","Quá hạn trên 15 ngày")))))</f>
        <v/>
      </c>
    </row>
  </sheetData>
  <autoFilter ref="A1:P37"/>
  <dataValidations count="4">
    <dataValidation sqref="E2:E37" showDropDown="0" showInputMessage="0" showErrorMessage="0" allowBlank="1" errorTitle="Sai định dạng" error="Giá trị không hợp lệ cho cột này." type="list">
      <formula1>"Kinh doanh,Kế toán,Hành chính nhân sự,Sản xuất,Kho vận,Kỹ thuật,Ban giám đốc"</formula1>
    </dataValidation>
    <dataValidation sqref="G2:G37" showDropDown="0" showInputMessage="0" showErrorMessage="0" allowBlank="1" errorTitle="Sai định dạng" error="Giá trị không hợp lệ cho cột này." type="decimal" operator="between">
      <formula1>0</formula1>
      <formula2>1000000000</formula2>
    </dataValidation>
    <dataValidation sqref="J2:J37" showDropDown="0" showInputMessage="0" showErrorMessage="0" allowBlank="1" errorTitle="Sai định dạng" error="Giá trị không hợp lệ cho cột này." type="decimal" operator="between">
      <formula1>0</formula1>
      <formula2>1000000000</formula2>
    </dataValidation>
    <dataValidation sqref="K2:K37" showDropDown="0" showInputMessage="0" showErrorMessage="0" allowBlank="1" errorTitle="Sai định dạng" error="Giá trị không hợp lệ cho cột này." type="decimal" operator="between">
      <formula1>0</formula1>
      <formula2>1000000000</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B1:B26"/>
  <sheetViews>
    <sheetView workbookViewId="0">
      <selection activeCell="A1" sqref="A1"/>
    </sheetView>
  </sheetViews>
  <sheetFormatPr baseColWidth="8" defaultRowHeight="15"/>
  <cols>
    <col width="4" customWidth="1" min="1" max="1"/>
    <col width="100" customWidth="1" min="2" max="2"/>
  </cols>
  <sheetData>
    <row r="1">
      <c r="B1" s="10" t="inlineStr">
        <is>
          <t>Mẫu Excel theo dõi tạm ứng và hoàn ứng nhân viên</t>
        </is>
      </c>
    </row>
    <row r="2">
      <c r="B2" s="11" t="inlineStr"/>
    </row>
    <row r="3">
      <c r="B3" s="12" t="inlineStr">
        <is>
          <t>CÁCH DÙNG</t>
        </is>
      </c>
    </row>
    <row r="4">
      <c r="B4" s="13" t="inlineStr">
        <is>
          <t>1. Ghi khoản tạm ứng ngay khi chi tiền</t>
        </is>
      </c>
    </row>
    <row r="5">
      <c r="B5" s="11" t="inlineStr">
        <is>
          <t xml:space="preserve">   Nhập số phiếu chi, ngày tạm ứng, người nhận, bộ phận, lý do và số tiền. Ba cột quyết toán để trống — đó là dấu hiệu khoản này còn đang treo.</t>
        </is>
      </c>
    </row>
    <row r="6">
      <c r="B6" s="13" t="inlineStr">
        <is>
          <t>2. Đặt hạn hoàn ứng cho từng khoản</t>
        </is>
      </c>
    </row>
    <row r="7">
      <c r="B7" s="11" t="inlineStr">
        <is>
          <t xml:space="preserve">   Hạn hoàn ứng nên bám theo quy chế tài chính của công ty, thường là vài ngày sau khi công việc kết thúc. Không có hạn thì cột quá hạn vô nghĩa, và khoản tạm ứng dễ nằm im hết quý này sang quý khác.</t>
        </is>
      </c>
    </row>
    <row r="8">
      <c r="B8" s="13" t="inlineStr">
        <is>
          <t>3. Nhập ngày chốt sổ</t>
        </is>
      </c>
    </row>
    <row r="9">
      <c r="B9" s="11" t="inlineStr">
        <is>
          <t xml:space="preserve">   Cột này là mốc thời gian để tính quá hạn, thường là ngày cuối tháng hoặc ngày bạn đang rà soát. Điền cùng một ngày cho mọi dòng. File cố tình không dùng hàm lấy ngày hôm nay để bảng in ra hôm nay và bảng in lại tháng sau vẫn cho cùng một con số.</t>
        </is>
      </c>
    </row>
    <row r="10">
      <c r="B10" s="13" t="inlineStr">
        <is>
          <t>4. Nhập số liệu quyết toán khi nhận chứng từ</t>
        </is>
      </c>
    </row>
    <row r="11">
      <c r="B11" s="11" t="inlineStr">
        <is>
          <t xml:space="preserve">   Số đã quyết toán là tổng chứng từ hợp lệ người tạm ứng nộp về, số hoàn lại là tiền mặt họ trả lại. Cộng hai số đó bằng đúng số tiền ứng thì khoản này đóng, cột trạng thái sẽ chuyển sang Đã quyết toán xong.</t>
        </is>
      </c>
    </row>
    <row r="12">
      <c r="B12" s="13" t="inlineStr">
        <is>
          <t>5. Lọc theo trạng thái để đòi</t>
        </is>
      </c>
    </row>
    <row r="13">
      <c r="B13" s="11" t="inlineStr">
        <is>
          <t xml:space="preserve">   Bật bộ lọc ở cột Trạng thái, chọn hai nhóm quá hạn rồi gửi danh sách cho từng bộ phận. Cột số ngày quá hạn cho phép sắp xếp giảm dần, khoản treo lâu nhất nằm trên cùng.</t>
        </is>
      </c>
    </row>
    <row r="14">
      <c r="B14" s="11" t="inlineStr"/>
    </row>
    <row r="15">
      <c r="B15" s="12" t="inlineStr">
        <is>
          <t>CÔNG THỨC TRONG FILE</t>
        </is>
      </c>
    </row>
    <row r="16">
      <c r="B16" s="13" t="inlineStr">
        <is>
          <t>Còn phải quyết toán  —  =IF(D2="","",G2-J2-K2)</t>
        </is>
      </c>
    </row>
    <row r="17">
      <c r="B17" s="11" t="inlineStr">
        <is>
          <t xml:space="preserve">   Tiền ứng trừ phần đã có chứng từ và phần đã trả lại bằng tiền mặt. Số dương là phần người tạm ứng còn đang giữ; số âm nghĩa là họ đã chi vượt và công ty phải hoàn lại cho họ.</t>
        </is>
      </c>
    </row>
    <row r="18">
      <c r="B18" s="13" t="inlineStr">
        <is>
          <t>Đã quyết toán  —  =IF(D2="","",IFERROR((J2+K2)/G2,0))</t>
        </is>
      </c>
    </row>
    <row r="19">
      <c r="B19" s="11" t="inlineStr">
        <is>
          <t xml:space="preserve">   Phần trăm khoản ứng đã được xử lý xong, tính cả chứng từ lẫn tiền trả lại. Cột này tách khoản mới quyết toán một phần khỏi khoản còn nguyên chưa động tới, hai thứ mà con số tiền tuyệt đối không phân biệt được.</t>
        </is>
      </c>
    </row>
    <row r="20">
      <c r="B20" s="13" t="inlineStr">
        <is>
          <t>Số ngày quá hạn  —  =IF(D2="","",IF(M2&lt;=0,0,MAX(0,L2-H2)))</t>
        </is>
      </c>
    </row>
    <row r="21">
      <c r="B21" s="11" t="inlineStr">
        <is>
          <t xml:space="preserve">   Chỉ đếm với khoản còn treo: khoản đã quyết toán xong trả về 0 dù ngày quyết toán có trễ hạn. Hàm MAX chặn số âm để khoản chưa tới hạn hiện 0 thay vì một con số ngày âm khó đọc.</t>
        </is>
      </c>
    </row>
    <row r="22">
      <c r="B22" s="13" t="inlineStr">
        <is>
          <t>Trạng thái  —  =IF(D2="","",IF(M2&lt;0,"Chi vượt - phải hoàn cho nhân viên",IF(M2=0,"Đã quyết toán xong",IF(O2=0,"Trong hạn",IF(O2&lt;=15,"Quá hạn 1-15 ngày","Quá hạn trên 15 ngày")))))</t>
        </is>
      </c>
    </row>
    <row r="23">
      <c r="B23" s="11" t="inlineStr">
        <is>
          <t xml:space="preserve">   Năm trạng thái, xét từ trường hợp đảo chiều dòng tiền tới trường hợp treo lâu nhất. Chi vượt được tách riêng vì nó không phải khoản đi đòi mà là khoản phải trả — gộp chung vào nhóm quá hạn thì danh sách đòi nợ sẽ có tên người mà công ty đang nợ.</t>
        </is>
      </c>
    </row>
    <row r="24">
      <c r="B24" s="11" t="inlineStr"/>
    </row>
    <row r="25">
      <c r="B25" s="13" t="inlineStr">
        <is>
          <t>Bản cập nhật mới nhất và hướng dẫn chi tiết:</t>
        </is>
      </c>
    </row>
    <row r="26">
      <c r="B26" s="14" t="inlineStr">
        <is>
          <t>https://excel.nguyenvietloc.com/mau-excel/ke-toan/bang-theo-doi-tam-ung</t>
        </is>
      </c>
    </row>
  </sheetData>
  <hyperlinks>
    <hyperlink xmlns:r="http://schemas.openxmlformats.org/officeDocument/2006/relationships" ref="B26"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2026-08-14T13:55:47Z</dcterms:created>
  <dcterms:modified xsi:type="dcterms:W3CDTF">2026-08-14T13:55:47Z</dcterms:modified>
</cp:coreProperties>
</file>