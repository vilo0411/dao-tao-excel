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ông nợ phải thu" sheetId="1" state="visible" r:id="rId1"/>
    <sheet name="Hướng dẫn" sheetId="2" state="visible" r:id="rId2"/>
  </sheets>
  <definedNames>
    <definedName name="_xlnm._FilterDatabase" localSheetId="0" hidden="1">'Công nợ phải thu'!$A$1:$M$37</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dd/mm/yyyy"/>
    <numFmt numFmtId="167"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6" fontId="0" fillId="3" borderId="1" pivotButton="0" quotePrefix="0" xfId="0"/>
    <xf numFmtId="167" fontId="0" fillId="3" borderId="1" pivotButton="0" quotePrefix="0" xfId="0"/>
    <xf numFmtId="164"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bang-theo-doi-cong-no-phai-thu" TargetMode="External" Id="rId1" /></Relationships>
</file>

<file path=xl/worksheets/sheet1.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8" customWidth="1" min="3" max="3"/>
    <col width="14" customWidth="1" min="4" max="4"/>
    <col width="14" customWidth="1" min="5" max="5"/>
    <col width="14" customWidth="1" min="6" max="6"/>
    <col width="18" customWidth="1" min="7" max="7"/>
    <col width="18" customWidth="1" min="8" max="8"/>
    <col width="15" customWidth="1" min="9" max="9"/>
    <col width="14" customWidth="1" min="10" max="10"/>
    <col width="18" customWidth="1" min="11" max="11"/>
    <col width="14" customWidth="1" min="12" max="12"/>
    <col width="24" customWidth="1" min="13" max="13"/>
  </cols>
  <sheetData>
    <row r="1" ht="32" customHeight="1">
      <c r="A1" s="1" t="inlineStr">
        <is>
          <t>STT</t>
        </is>
      </c>
      <c r="B1" s="1" t="inlineStr">
        <is>
          <t>Mã KH</t>
        </is>
      </c>
      <c r="C1" s="1" t="inlineStr">
        <is>
          <t>Tên khách hàng</t>
        </is>
      </c>
      <c r="D1" s="1" t="inlineStr">
        <is>
          <t>Số hóa đơn</t>
        </is>
      </c>
      <c r="E1" s="1" t="inlineStr">
        <is>
          <t>Ngày hóa đơn</t>
        </is>
      </c>
      <c r="F1" s="1" t="inlineStr">
        <is>
          <t>Số ngày được nợ</t>
        </is>
      </c>
      <c r="G1" s="1" t="inlineStr">
        <is>
          <t>Số tiền phải thu</t>
        </is>
      </c>
      <c r="H1" s="1" t="inlineStr">
        <is>
          <t>Đã thanh toán</t>
        </is>
      </c>
      <c r="I1" s="1" t="inlineStr">
        <is>
          <t>Ngày chốt số liệu</t>
        </is>
      </c>
      <c r="J1" s="1" t="inlineStr">
        <is>
          <t>Hạn thanh toán</t>
        </is>
      </c>
      <c r="K1" s="1" t="inlineStr">
        <is>
          <t>Còn phải thu</t>
        </is>
      </c>
      <c r="L1" s="1" t="inlineStr">
        <is>
          <t>Số ngày quá hạn</t>
        </is>
      </c>
      <c r="M1" s="1" t="inlineStr">
        <is>
          <t>Nhóm tuổi nợ</t>
        </is>
      </c>
    </row>
    <row r="2">
      <c r="A2" s="2" t="n">
        <v>1</v>
      </c>
      <c r="B2" s="3" t="inlineStr">
        <is>
          <t>KH001</t>
        </is>
      </c>
      <c r="C2" s="3" t="inlineStr">
        <is>
          <t>Công ty TNHH An Phát</t>
        </is>
      </c>
      <c r="D2" s="3" t="inlineStr">
        <is>
          <t>HD00125</t>
        </is>
      </c>
      <c r="E2" s="4" t="n">
        <v>46178</v>
      </c>
      <c r="F2" s="2" t="n">
        <v>30</v>
      </c>
      <c r="G2" s="5" t="n">
        <v>88000000</v>
      </c>
      <c r="H2" s="5" t="n">
        <v>0</v>
      </c>
      <c r="I2" s="4" t="n">
        <v>46234</v>
      </c>
      <c r="J2" s="6">
        <f>IF(C2="","",E2+F2)</f>
        <v/>
      </c>
      <c r="K2" s="7">
        <f>IF(C2="","",G2-H2)</f>
        <v/>
      </c>
      <c r="L2" s="8">
        <f>IF(C2="","",IF(K2&lt;=0,0,MAX(0,I2-J2)))</f>
        <v/>
      </c>
      <c r="M2" s="9">
        <f>IF(C2="","",IF(K2&lt;0,"Thu vượt - kiểm tra lại",IF(K2=0,"Đã thu đủ",IF(L2=0,"Trong hạn",IF(L2&lt;=30,"Quá hạn 1-30 ngày",IF(L2&lt;=60,"Quá hạn 31-60 ngày","Quá hạn trên 60 ngày"))))))</f>
        <v/>
      </c>
    </row>
    <row r="3">
      <c r="A3" s="2" t="n">
        <v>2</v>
      </c>
      <c r="B3" s="3" t="inlineStr">
        <is>
          <t>KH002</t>
        </is>
      </c>
      <c r="C3" s="3" t="inlineStr">
        <is>
          <t>Công ty CP Minh Long</t>
        </is>
      </c>
      <c r="D3" s="3" t="inlineStr">
        <is>
          <t>HD00131</t>
        </is>
      </c>
      <c r="E3" s="4" t="n">
        <v>46191</v>
      </c>
      <c r="F3" s="2" t="n">
        <v>15</v>
      </c>
      <c r="G3" s="5" t="n">
        <v>42000000</v>
      </c>
      <c r="H3" s="5" t="n">
        <v>42000000</v>
      </c>
      <c r="I3" s="4" t="n">
        <v>46234</v>
      </c>
      <c r="J3" s="6">
        <f>IF(C3="","",E3+F3)</f>
        <v/>
      </c>
      <c r="K3" s="7">
        <f>IF(C3="","",G3-H3)</f>
        <v/>
      </c>
      <c r="L3" s="8">
        <f>IF(C3="","",IF(K3&lt;=0,0,MAX(0,I3-J3)))</f>
        <v/>
      </c>
      <c r="M3" s="9">
        <f>IF(C3="","",IF(K3&lt;0,"Thu vượt - kiểm tra lại",IF(K3=0,"Đã thu đủ",IF(L3=0,"Trong hạn",IF(L3&lt;=30,"Quá hạn 1-30 ngày",IF(L3&lt;=60,"Quá hạn 31-60 ngày","Quá hạn trên 60 ngày"))))))</f>
        <v/>
      </c>
    </row>
    <row r="4">
      <c r="A4" s="2" t="n">
        <v>3</v>
      </c>
      <c r="B4" s="3" t="inlineStr">
        <is>
          <t>KH003</t>
        </is>
      </c>
      <c r="C4" s="3" t="inlineStr">
        <is>
          <t>Cửa hàng Hoàng Gia</t>
        </is>
      </c>
      <c r="D4" s="3" t="inlineStr">
        <is>
          <t>HD00140</t>
        </is>
      </c>
      <c r="E4" s="4" t="n">
        <v>46213</v>
      </c>
      <c r="F4" s="2" t="n">
        <v>30</v>
      </c>
      <c r="G4" s="5" t="n">
        <v>26500000</v>
      </c>
      <c r="H4" s="5" t="n">
        <v>10000000</v>
      </c>
      <c r="I4" s="4" t="n">
        <v>46234</v>
      </c>
      <c r="J4" s="6">
        <f>IF(C4="","",E4+F4)</f>
        <v/>
      </c>
      <c r="K4" s="7">
        <f>IF(C4="","",G4-H4)</f>
        <v/>
      </c>
      <c r="L4" s="8">
        <f>IF(C4="","",IF(K4&lt;=0,0,MAX(0,I4-J4)))</f>
        <v/>
      </c>
      <c r="M4" s="9">
        <f>IF(C4="","",IF(K4&lt;0,"Thu vượt - kiểm tra lại",IF(K4=0,"Đã thu đủ",IF(L4=0,"Trong hạn",IF(L4&lt;=30,"Quá hạn 1-30 ngày",IF(L4&lt;=60,"Quá hạn 31-60 ngày","Quá hạn trên 60 ngày"))))))</f>
        <v/>
      </c>
    </row>
    <row r="5">
      <c r="A5" s="2" t="n">
        <v>4</v>
      </c>
      <c r="B5" s="3" t="inlineStr">
        <is>
          <t>KH004</t>
        </is>
      </c>
      <c r="C5" s="3" t="inlineStr">
        <is>
          <t>Công ty TNHH Đại Việt</t>
        </is>
      </c>
      <c r="D5" s="3" t="inlineStr">
        <is>
          <t>HD00098</t>
        </is>
      </c>
      <c r="E5" s="4" t="n">
        <v>46132</v>
      </c>
      <c r="F5" s="2" t="n">
        <v>45</v>
      </c>
      <c r="G5" s="5" t="n">
        <v>150000000</v>
      </c>
      <c r="H5" s="5" t="n">
        <v>50000000</v>
      </c>
      <c r="I5" s="4" t="n">
        <v>46234</v>
      </c>
      <c r="J5" s="6">
        <f>IF(C5="","",E5+F5)</f>
        <v/>
      </c>
      <c r="K5" s="7">
        <f>IF(C5="","",G5-H5)</f>
        <v/>
      </c>
      <c r="L5" s="8">
        <f>IF(C5="","",IF(K5&lt;=0,0,MAX(0,I5-J5)))</f>
        <v/>
      </c>
      <c r="M5" s="9">
        <f>IF(C5="","",IF(K5&lt;0,"Thu vượt - kiểm tra lại",IF(K5=0,"Đã thu đủ",IF(L5=0,"Trong hạn",IF(L5&lt;=30,"Quá hạn 1-30 ngày",IF(L5&lt;=60,"Quá hạn 31-60 ngày","Quá hạn trên 60 ngày"))))))</f>
        <v/>
      </c>
    </row>
    <row r="6">
      <c r="A6" s="2" t="n">
        <v>5</v>
      </c>
      <c r="B6" s="3" t="inlineStr">
        <is>
          <t>KH005</t>
        </is>
      </c>
      <c r="C6" s="3" t="inlineStr">
        <is>
          <t>Công ty CP Tân Tiến</t>
        </is>
      </c>
      <c r="D6" s="3" t="inlineStr">
        <is>
          <t>HD00087</t>
        </is>
      </c>
      <c r="E6" s="4" t="n">
        <v>46093</v>
      </c>
      <c r="F6" s="2" t="n">
        <v>30</v>
      </c>
      <c r="G6" s="5" t="n">
        <v>64000000</v>
      </c>
      <c r="H6" s="5" t="n">
        <v>0</v>
      </c>
      <c r="I6" s="4" t="n">
        <v>46234</v>
      </c>
      <c r="J6" s="6">
        <f>IF(C6="","",E6+F6)</f>
        <v/>
      </c>
      <c r="K6" s="7">
        <f>IF(C6="","",G6-H6)</f>
        <v/>
      </c>
      <c r="L6" s="8">
        <f>IF(C6="","",IF(K6&lt;=0,0,MAX(0,I6-J6)))</f>
        <v/>
      </c>
      <c r="M6" s="9">
        <f>IF(C6="","",IF(K6&lt;0,"Thu vượt - kiểm tra lại",IF(K6=0,"Đã thu đủ",IF(L6=0,"Trong hạn",IF(L6&lt;=30,"Quá hạn 1-30 ngày",IF(L6&lt;=60,"Quá hạn 31-60 ngày","Quá hạn trên 60 ngày"))))))</f>
        <v/>
      </c>
    </row>
    <row r="7">
      <c r="A7" s="2" t="n">
        <v>6</v>
      </c>
      <c r="B7" s="3" t="inlineStr">
        <is>
          <t>KH001</t>
        </is>
      </c>
      <c r="C7" s="3" t="inlineStr">
        <is>
          <t>Công ty TNHH An Phát</t>
        </is>
      </c>
      <c r="D7" s="3" t="inlineStr">
        <is>
          <t>HD00151</t>
        </is>
      </c>
      <c r="E7" s="4" t="n">
        <v>46225</v>
      </c>
      <c r="F7" s="2" t="n">
        <v>30</v>
      </c>
      <c r="G7" s="5" t="n">
        <v>35000000</v>
      </c>
      <c r="H7" s="5" t="n">
        <v>0</v>
      </c>
      <c r="I7" s="4" t="n">
        <v>46234</v>
      </c>
      <c r="J7" s="6">
        <f>IF(C7="","",E7+F7)</f>
        <v/>
      </c>
      <c r="K7" s="7">
        <f>IF(C7="","",G7-H7)</f>
        <v/>
      </c>
      <c r="L7" s="8">
        <f>IF(C7="","",IF(K7&lt;=0,0,MAX(0,I7-J7)))</f>
        <v/>
      </c>
      <c r="M7" s="9">
        <f>IF(C7="","",IF(K7&lt;0,"Thu vượt - kiểm tra lại",IF(K7=0,"Đã thu đủ",IF(L7=0,"Trong hạn",IF(L7&lt;=30,"Quá hạn 1-30 ngày",IF(L7&lt;=60,"Quá hạn 31-60 ngày","Quá hạn trên 60 ngày"))))))</f>
        <v/>
      </c>
    </row>
    <row r="8">
      <c r="A8" s="2" t="n"/>
      <c r="B8" s="3" t="n"/>
      <c r="C8" s="3" t="n"/>
      <c r="D8" s="3" t="n"/>
      <c r="E8" s="4" t="n"/>
      <c r="F8" s="2" t="n"/>
      <c r="G8" s="5" t="n"/>
      <c r="H8" s="5" t="n"/>
      <c r="I8" s="4" t="n"/>
      <c r="J8" s="6">
        <f>IF(C8="","",E8+F8)</f>
        <v/>
      </c>
      <c r="K8" s="7">
        <f>IF(C8="","",G8-H8)</f>
        <v/>
      </c>
      <c r="L8" s="8">
        <f>IF(C8="","",IF(K8&lt;=0,0,MAX(0,I8-J8)))</f>
        <v/>
      </c>
      <c r="M8" s="9">
        <f>IF(C8="","",IF(K8&lt;0,"Thu vượt - kiểm tra lại",IF(K8=0,"Đã thu đủ",IF(L8=0,"Trong hạn",IF(L8&lt;=30,"Quá hạn 1-30 ngày",IF(L8&lt;=60,"Quá hạn 31-60 ngày","Quá hạn trên 60 ngày"))))))</f>
        <v/>
      </c>
    </row>
    <row r="9">
      <c r="A9" s="2" t="n"/>
      <c r="B9" s="3" t="n"/>
      <c r="C9" s="3" t="n"/>
      <c r="D9" s="3" t="n"/>
      <c r="E9" s="4" t="n"/>
      <c r="F9" s="2" t="n"/>
      <c r="G9" s="5" t="n"/>
      <c r="H9" s="5" t="n"/>
      <c r="I9" s="4" t="n"/>
      <c r="J9" s="6">
        <f>IF(C9="","",E9+F9)</f>
        <v/>
      </c>
      <c r="K9" s="7">
        <f>IF(C9="","",G9-H9)</f>
        <v/>
      </c>
      <c r="L9" s="8">
        <f>IF(C9="","",IF(K9&lt;=0,0,MAX(0,I9-J9)))</f>
        <v/>
      </c>
      <c r="M9" s="9">
        <f>IF(C9="","",IF(K9&lt;0,"Thu vượt - kiểm tra lại",IF(K9=0,"Đã thu đủ",IF(L9=0,"Trong hạn",IF(L9&lt;=30,"Quá hạn 1-30 ngày",IF(L9&lt;=60,"Quá hạn 31-60 ngày","Quá hạn trên 60 ngày"))))))</f>
        <v/>
      </c>
    </row>
    <row r="10">
      <c r="A10" s="2" t="n"/>
      <c r="B10" s="3" t="n"/>
      <c r="C10" s="3" t="n"/>
      <c r="D10" s="3" t="n"/>
      <c r="E10" s="4" t="n"/>
      <c r="F10" s="2" t="n"/>
      <c r="G10" s="5" t="n"/>
      <c r="H10" s="5" t="n"/>
      <c r="I10" s="4" t="n"/>
      <c r="J10" s="6">
        <f>IF(C10="","",E10+F10)</f>
        <v/>
      </c>
      <c r="K10" s="7">
        <f>IF(C10="","",G10-H10)</f>
        <v/>
      </c>
      <c r="L10" s="8">
        <f>IF(C10="","",IF(K10&lt;=0,0,MAX(0,I10-J10)))</f>
        <v/>
      </c>
      <c r="M10" s="9">
        <f>IF(C10="","",IF(K10&lt;0,"Thu vượt - kiểm tra lại",IF(K10=0,"Đã thu đủ",IF(L10=0,"Trong hạn",IF(L10&lt;=30,"Quá hạn 1-30 ngày",IF(L10&lt;=60,"Quá hạn 31-60 ngày","Quá hạn trên 60 ngày"))))))</f>
        <v/>
      </c>
    </row>
    <row r="11">
      <c r="A11" s="2" t="n"/>
      <c r="B11" s="3" t="n"/>
      <c r="C11" s="3" t="n"/>
      <c r="D11" s="3" t="n"/>
      <c r="E11" s="4" t="n"/>
      <c r="F11" s="2" t="n"/>
      <c r="G11" s="5" t="n"/>
      <c r="H11" s="5" t="n"/>
      <c r="I11" s="4" t="n"/>
      <c r="J11" s="6">
        <f>IF(C11="","",E11+F11)</f>
        <v/>
      </c>
      <c r="K11" s="7">
        <f>IF(C11="","",G11-H11)</f>
        <v/>
      </c>
      <c r="L11" s="8">
        <f>IF(C11="","",IF(K11&lt;=0,0,MAX(0,I11-J11)))</f>
        <v/>
      </c>
      <c r="M11" s="9">
        <f>IF(C11="","",IF(K11&lt;0,"Thu vượt - kiểm tra lại",IF(K11=0,"Đã thu đủ",IF(L11=0,"Trong hạn",IF(L11&lt;=30,"Quá hạn 1-30 ngày",IF(L11&lt;=60,"Quá hạn 31-60 ngày","Quá hạn trên 60 ngày"))))))</f>
        <v/>
      </c>
    </row>
    <row r="12">
      <c r="A12" s="2" t="n"/>
      <c r="B12" s="3" t="n"/>
      <c r="C12" s="3" t="n"/>
      <c r="D12" s="3" t="n"/>
      <c r="E12" s="4" t="n"/>
      <c r="F12" s="2" t="n"/>
      <c r="G12" s="5" t="n"/>
      <c r="H12" s="5" t="n"/>
      <c r="I12" s="4" t="n"/>
      <c r="J12" s="6">
        <f>IF(C12="","",E12+F12)</f>
        <v/>
      </c>
      <c r="K12" s="7">
        <f>IF(C12="","",G12-H12)</f>
        <v/>
      </c>
      <c r="L12" s="8">
        <f>IF(C12="","",IF(K12&lt;=0,0,MAX(0,I12-J12)))</f>
        <v/>
      </c>
      <c r="M12" s="9">
        <f>IF(C12="","",IF(K12&lt;0,"Thu vượt - kiểm tra lại",IF(K12=0,"Đã thu đủ",IF(L12=0,"Trong hạn",IF(L12&lt;=30,"Quá hạn 1-30 ngày",IF(L12&lt;=60,"Quá hạn 31-60 ngày","Quá hạn trên 60 ngày"))))))</f>
        <v/>
      </c>
    </row>
    <row r="13">
      <c r="A13" s="2" t="n"/>
      <c r="B13" s="3" t="n"/>
      <c r="C13" s="3" t="n"/>
      <c r="D13" s="3" t="n"/>
      <c r="E13" s="4" t="n"/>
      <c r="F13" s="2" t="n"/>
      <c r="G13" s="5" t="n"/>
      <c r="H13" s="5" t="n"/>
      <c r="I13" s="4" t="n"/>
      <c r="J13" s="6">
        <f>IF(C13="","",E13+F13)</f>
        <v/>
      </c>
      <c r="K13" s="7">
        <f>IF(C13="","",G13-H13)</f>
        <v/>
      </c>
      <c r="L13" s="8">
        <f>IF(C13="","",IF(K13&lt;=0,0,MAX(0,I13-J13)))</f>
        <v/>
      </c>
      <c r="M13" s="9">
        <f>IF(C13="","",IF(K13&lt;0,"Thu vượt - kiểm tra lại",IF(K13=0,"Đã thu đủ",IF(L13=0,"Trong hạn",IF(L13&lt;=30,"Quá hạn 1-30 ngày",IF(L13&lt;=60,"Quá hạn 31-60 ngày","Quá hạn trên 60 ngày"))))))</f>
        <v/>
      </c>
    </row>
    <row r="14">
      <c r="A14" s="2" t="n"/>
      <c r="B14" s="3" t="n"/>
      <c r="C14" s="3" t="n"/>
      <c r="D14" s="3" t="n"/>
      <c r="E14" s="4" t="n"/>
      <c r="F14" s="2" t="n"/>
      <c r="G14" s="5" t="n"/>
      <c r="H14" s="5" t="n"/>
      <c r="I14" s="4" t="n"/>
      <c r="J14" s="6">
        <f>IF(C14="","",E14+F14)</f>
        <v/>
      </c>
      <c r="K14" s="7">
        <f>IF(C14="","",G14-H14)</f>
        <v/>
      </c>
      <c r="L14" s="8">
        <f>IF(C14="","",IF(K14&lt;=0,0,MAX(0,I14-J14)))</f>
        <v/>
      </c>
      <c r="M14" s="9">
        <f>IF(C14="","",IF(K14&lt;0,"Thu vượt - kiểm tra lại",IF(K14=0,"Đã thu đủ",IF(L14=0,"Trong hạn",IF(L14&lt;=30,"Quá hạn 1-30 ngày",IF(L14&lt;=60,"Quá hạn 31-60 ngày","Quá hạn trên 60 ngày"))))))</f>
        <v/>
      </c>
    </row>
    <row r="15">
      <c r="A15" s="2" t="n"/>
      <c r="B15" s="3" t="n"/>
      <c r="C15" s="3" t="n"/>
      <c r="D15" s="3" t="n"/>
      <c r="E15" s="4" t="n"/>
      <c r="F15" s="2" t="n"/>
      <c r="G15" s="5" t="n"/>
      <c r="H15" s="5" t="n"/>
      <c r="I15" s="4" t="n"/>
      <c r="J15" s="6">
        <f>IF(C15="","",E15+F15)</f>
        <v/>
      </c>
      <c r="K15" s="7">
        <f>IF(C15="","",G15-H15)</f>
        <v/>
      </c>
      <c r="L15" s="8">
        <f>IF(C15="","",IF(K15&lt;=0,0,MAX(0,I15-J15)))</f>
        <v/>
      </c>
      <c r="M15" s="9">
        <f>IF(C15="","",IF(K15&lt;0,"Thu vượt - kiểm tra lại",IF(K15=0,"Đã thu đủ",IF(L15=0,"Trong hạn",IF(L15&lt;=30,"Quá hạn 1-30 ngày",IF(L15&lt;=60,"Quá hạn 31-60 ngày","Quá hạn trên 60 ngày"))))))</f>
        <v/>
      </c>
    </row>
    <row r="16">
      <c r="A16" s="2" t="n"/>
      <c r="B16" s="3" t="n"/>
      <c r="C16" s="3" t="n"/>
      <c r="D16" s="3" t="n"/>
      <c r="E16" s="4" t="n"/>
      <c r="F16" s="2" t="n"/>
      <c r="G16" s="5" t="n"/>
      <c r="H16" s="5" t="n"/>
      <c r="I16" s="4" t="n"/>
      <c r="J16" s="6">
        <f>IF(C16="","",E16+F16)</f>
        <v/>
      </c>
      <c r="K16" s="7">
        <f>IF(C16="","",G16-H16)</f>
        <v/>
      </c>
      <c r="L16" s="8">
        <f>IF(C16="","",IF(K16&lt;=0,0,MAX(0,I16-J16)))</f>
        <v/>
      </c>
      <c r="M16" s="9">
        <f>IF(C16="","",IF(K16&lt;0,"Thu vượt - kiểm tra lại",IF(K16=0,"Đã thu đủ",IF(L16=0,"Trong hạn",IF(L16&lt;=30,"Quá hạn 1-30 ngày",IF(L16&lt;=60,"Quá hạn 31-60 ngày","Quá hạn trên 60 ngày"))))))</f>
        <v/>
      </c>
    </row>
    <row r="17">
      <c r="A17" s="2" t="n"/>
      <c r="B17" s="3" t="n"/>
      <c r="C17" s="3" t="n"/>
      <c r="D17" s="3" t="n"/>
      <c r="E17" s="4" t="n"/>
      <c r="F17" s="2" t="n"/>
      <c r="G17" s="5" t="n"/>
      <c r="H17" s="5" t="n"/>
      <c r="I17" s="4" t="n"/>
      <c r="J17" s="6">
        <f>IF(C17="","",E17+F17)</f>
        <v/>
      </c>
      <c r="K17" s="7">
        <f>IF(C17="","",G17-H17)</f>
        <v/>
      </c>
      <c r="L17" s="8">
        <f>IF(C17="","",IF(K17&lt;=0,0,MAX(0,I17-J17)))</f>
        <v/>
      </c>
      <c r="M17" s="9">
        <f>IF(C17="","",IF(K17&lt;0,"Thu vượt - kiểm tra lại",IF(K17=0,"Đã thu đủ",IF(L17=0,"Trong hạn",IF(L17&lt;=30,"Quá hạn 1-30 ngày",IF(L17&lt;=60,"Quá hạn 31-60 ngày","Quá hạn trên 60 ngày"))))))</f>
        <v/>
      </c>
    </row>
    <row r="18">
      <c r="A18" s="2" t="n"/>
      <c r="B18" s="3" t="n"/>
      <c r="C18" s="3" t="n"/>
      <c r="D18" s="3" t="n"/>
      <c r="E18" s="4" t="n"/>
      <c r="F18" s="2" t="n"/>
      <c r="G18" s="5" t="n"/>
      <c r="H18" s="5" t="n"/>
      <c r="I18" s="4" t="n"/>
      <c r="J18" s="6">
        <f>IF(C18="","",E18+F18)</f>
        <v/>
      </c>
      <c r="K18" s="7">
        <f>IF(C18="","",G18-H18)</f>
        <v/>
      </c>
      <c r="L18" s="8">
        <f>IF(C18="","",IF(K18&lt;=0,0,MAX(0,I18-J18)))</f>
        <v/>
      </c>
      <c r="M18" s="9">
        <f>IF(C18="","",IF(K18&lt;0,"Thu vượt - kiểm tra lại",IF(K18=0,"Đã thu đủ",IF(L18=0,"Trong hạn",IF(L18&lt;=30,"Quá hạn 1-30 ngày",IF(L18&lt;=60,"Quá hạn 31-60 ngày","Quá hạn trên 60 ngày"))))))</f>
        <v/>
      </c>
    </row>
    <row r="19">
      <c r="A19" s="2" t="n"/>
      <c r="B19" s="3" t="n"/>
      <c r="C19" s="3" t="n"/>
      <c r="D19" s="3" t="n"/>
      <c r="E19" s="4" t="n"/>
      <c r="F19" s="2" t="n"/>
      <c r="G19" s="5" t="n"/>
      <c r="H19" s="5" t="n"/>
      <c r="I19" s="4" t="n"/>
      <c r="J19" s="6">
        <f>IF(C19="","",E19+F19)</f>
        <v/>
      </c>
      <c r="K19" s="7">
        <f>IF(C19="","",G19-H19)</f>
        <v/>
      </c>
      <c r="L19" s="8">
        <f>IF(C19="","",IF(K19&lt;=0,0,MAX(0,I19-J19)))</f>
        <v/>
      </c>
      <c r="M19" s="9">
        <f>IF(C19="","",IF(K19&lt;0,"Thu vượt - kiểm tra lại",IF(K19=0,"Đã thu đủ",IF(L19=0,"Trong hạn",IF(L19&lt;=30,"Quá hạn 1-30 ngày",IF(L19&lt;=60,"Quá hạn 31-60 ngày","Quá hạn trên 60 ngày"))))))</f>
        <v/>
      </c>
    </row>
    <row r="20">
      <c r="A20" s="2" t="n"/>
      <c r="B20" s="3" t="n"/>
      <c r="C20" s="3" t="n"/>
      <c r="D20" s="3" t="n"/>
      <c r="E20" s="4" t="n"/>
      <c r="F20" s="2" t="n"/>
      <c r="G20" s="5" t="n"/>
      <c r="H20" s="5" t="n"/>
      <c r="I20" s="4" t="n"/>
      <c r="J20" s="6">
        <f>IF(C20="","",E20+F20)</f>
        <v/>
      </c>
      <c r="K20" s="7">
        <f>IF(C20="","",G20-H20)</f>
        <v/>
      </c>
      <c r="L20" s="8">
        <f>IF(C20="","",IF(K20&lt;=0,0,MAX(0,I20-J20)))</f>
        <v/>
      </c>
      <c r="M20" s="9">
        <f>IF(C20="","",IF(K20&lt;0,"Thu vượt - kiểm tra lại",IF(K20=0,"Đã thu đủ",IF(L20=0,"Trong hạn",IF(L20&lt;=30,"Quá hạn 1-30 ngày",IF(L20&lt;=60,"Quá hạn 31-60 ngày","Quá hạn trên 60 ngày"))))))</f>
        <v/>
      </c>
    </row>
    <row r="21">
      <c r="A21" s="2" t="n"/>
      <c r="B21" s="3" t="n"/>
      <c r="C21" s="3" t="n"/>
      <c r="D21" s="3" t="n"/>
      <c r="E21" s="4" t="n"/>
      <c r="F21" s="2" t="n"/>
      <c r="G21" s="5" t="n"/>
      <c r="H21" s="5" t="n"/>
      <c r="I21" s="4" t="n"/>
      <c r="J21" s="6">
        <f>IF(C21="","",E21+F21)</f>
        <v/>
      </c>
      <c r="K21" s="7">
        <f>IF(C21="","",G21-H21)</f>
        <v/>
      </c>
      <c r="L21" s="8">
        <f>IF(C21="","",IF(K21&lt;=0,0,MAX(0,I21-J21)))</f>
        <v/>
      </c>
      <c r="M21" s="9">
        <f>IF(C21="","",IF(K21&lt;0,"Thu vượt - kiểm tra lại",IF(K21=0,"Đã thu đủ",IF(L21=0,"Trong hạn",IF(L21&lt;=30,"Quá hạn 1-30 ngày",IF(L21&lt;=60,"Quá hạn 31-60 ngày","Quá hạn trên 60 ngày"))))))</f>
        <v/>
      </c>
    </row>
    <row r="22">
      <c r="A22" s="2" t="n"/>
      <c r="B22" s="3" t="n"/>
      <c r="C22" s="3" t="n"/>
      <c r="D22" s="3" t="n"/>
      <c r="E22" s="4" t="n"/>
      <c r="F22" s="2" t="n"/>
      <c r="G22" s="5" t="n"/>
      <c r="H22" s="5" t="n"/>
      <c r="I22" s="4" t="n"/>
      <c r="J22" s="6">
        <f>IF(C22="","",E22+F22)</f>
        <v/>
      </c>
      <c r="K22" s="7">
        <f>IF(C22="","",G22-H22)</f>
        <v/>
      </c>
      <c r="L22" s="8">
        <f>IF(C22="","",IF(K22&lt;=0,0,MAX(0,I22-J22)))</f>
        <v/>
      </c>
      <c r="M22" s="9">
        <f>IF(C22="","",IF(K22&lt;0,"Thu vượt - kiểm tra lại",IF(K22=0,"Đã thu đủ",IF(L22=0,"Trong hạn",IF(L22&lt;=30,"Quá hạn 1-30 ngày",IF(L22&lt;=60,"Quá hạn 31-60 ngày","Quá hạn trên 60 ngày"))))))</f>
        <v/>
      </c>
    </row>
    <row r="23">
      <c r="A23" s="2" t="n"/>
      <c r="B23" s="3" t="n"/>
      <c r="C23" s="3" t="n"/>
      <c r="D23" s="3" t="n"/>
      <c r="E23" s="4" t="n"/>
      <c r="F23" s="2" t="n"/>
      <c r="G23" s="5" t="n"/>
      <c r="H23" s="5" t="n"/>
      <c r="I23" s="4" t="n"/>
      <c r="J23" s="6">
        <f>IF(C23="","",E23+F23)</f>
        <v/>
      </c>
      <c r="K23" s="7">
        <f>IF(C23="","",G23-H23)</f>
        <v/>
      </c>
      <c r="L23" s="8">
        <f>IF(C23="","",IF(K23&lt;=0,0,MAX(0,I23-J23)))</f>
        <v/>
      </c>
      <c r="M23" s="9">
        <f>IF(C23="","",IF(K23&lt;0,"Thu vượt - kiểm tra lại",IF(K23=0,"Đã thu đủ",IF(L23=0,"Trong hạn",IF(L23&lt;=30,"Quá hạn 1-30 ngày",IF(L23&lt;=60,"Quá hạn 31-60 ngày","Quá hạn trên 60 ngày"))))))</f>
        <v/>
      </c>
    </row>
    <row r="24">
      <c r="A24" s="2" t="n"/>
      <c r="B24" s="3" t="n"/>
      <c r="C24" s="3" t="n"/>
      <c r="D24" s="3" t="n"/>
      <c r="E24" s="4" t="n"/>
      <c r="F24" s="2" t="n"/>
      <c r="G24" s="5" t="n"/>
      <c r="H24" s="5" t="n"/>
      <c r="I24" s="4" t="n"/>
      <c r="J24" s="6">
        <f>IF(C24="","",E24+F24)</f>
        <v/>
      </c>
      <c r="K24" s="7">
        <f>IF(C24="","",G24-H24)</f>
        <v/>
      </c>
      <c r="L24" s="8">
        <f>IF(C24="","",IF(K24&lt;=0,0,MAX(0,I24-J24)))</f>
        <v/>
      </c>
      <c r="M24" s="9">
        <f>IF(C24="","",IF(K24&lt;0,"Thu vượt - kiểm tra lại",IF(K24=0,"Đã thu đủ",IF(L24=0,"Trong hạn",IF(L24&lt;=30,"Quá hạn 1-30 ngày",IF(L24&lt;=60,"Quá hạn 31-60 ngày","Quá hạn trên 60 ngày"))))))</f>
        <v/>
      </c>
    </row>
    <row r="25">
      <c r="A25" s="2" t="n"/>
      <c r="B25" s="3" t="n"/>
      <c r="C25" s="3" t="n"/>
      <c r="D25" s="3" t="n"/>
      <c r="E25" s="4" t="n"/>
      <c r="F25" s="2" t="n"/>
      <c r="G25" s="5" t="n"/>
      <c r="H25" s="5" t="n"/>
      <c r="I25" s="4" t="n"/>
      <c r="J25" s="6">
        <f>IF(C25="","",E25+F25)</f>
        <v/>
      </c>
      <c r="K25" s="7">
        <f>IF(C25="","",G25-H25)</f>
        <v/>
      </c>
      <c r="L25" s="8">
        <f>IF(C25="","",IF(K25&lt;=0,0,MAX(0,I25-J25)))</f>
        <v/>
      </c>
      <c r="M25" s="9">
        <f>IF(C25="","",IF(K25&lt;0,"Thu vượt - kiểm tra lại",IF(K25=0,"Đã thu đủ",IF(L25=0,"Trong hạn",IF(L25&lt;=30,"Quá hạn 1-30 ngày",IF(L25&lt;=60,"Quá hạn 31-60 ngày","Quá hạn trên 60 ngày"))))))</f>
        <v/>
      </c>
    </row>
    <row r="26">
      <c r="A26" s="2" t="n"/>
      <c r="B26" s="3" t="n"/>
      <c r="C26" s="3" t="n"/>
      <c r="D26" s="3" t="n"/>
      <c r="E26" s="4" t="n"/>
      <c r="F26" s="2" t="n"/>
      <c r="G26" s="5" t="n"/>
      <c r="H26" s="5" t="n"/>
      <c r="I26" s="4" t="n"/>
      <c r="J26" s="6">
        <f>IF(C26="","",E26+F26)</f>
        <v/>
      </c>
      <c r="K26" s="7">
        <f>IF(C26="","",G26-H26)</f>
        <v/>
      </c>
      <c r="L26" s="8">
        <f>IF(C26="","",IF(K26&lt;=0,0,MAX(0,I26-J26)))</f>
        <v/>
      </c>
      <c r="M26" s="9">
        <f>IF(C26="","",IF(K26&lt;0,"Thu vượt - kiểm tra lại",IF(K26=0,"Đã thu đủ",IF(L26=0,"Trong hạn",IF(L26&lt;=30,"Quá hạn 1-30 ngày",IF(L26&lt;=60,"Quá hạn 31-60 ngày","Quá hạn trên 60 ngày"))))))</f>
        <v/>
      </c>
    </row>
    <row r="27">
      <c r="A27" s="2" t="n"/>
      <c r="B27" s="3" t="n"/>
      <c r="C27" s="3" t="n"/>
      <c r="D27" s="3" t="n"/>
      <c r="E27" s="4" t="n"/>
      <c r="F27" s="2" t="n"/>
      <c r="G27" s="5" t="n"/>
      <c r="H27" s="5" t="n"/>
      <c r="I27" s="4" t="n"/>
      <c r="J27" s="6">
        <f>IF(C27="","",E27+F27)</f>
        <v/>
      </c>
      <c r="K27" s="7">
        <f>IF(C27="","",G27-H27)</f>
        <v/>
      </c>
      <c r="L27" s="8">
        <f>IF(C27="","",IF(K27&lt;=0,0,MAX(0,I27-J27)))</f>
        <v/>
      </c>
      <c r="M27" s="9">
        <f>IF(C27="","",IF(K27&lt;0,"Thu vượt - kiểm tra lại",IF(K27=0,"Đã thu đủ",IF(L27=0,"Trong hạn",IF(L27&lt;=30,"Quá hạn 1-30 ngày",IF(L27&lt;=60,"Quá hạn 31-60 ngày","Quá hạn trên 60 ngày"))))))</f>
        <v/>
      </c>
    </row>
    <row r="28">
      <c r="A28" s="2" t="n"/>
      <c r="B28" s="3" t="n"/>
      <c r="C28" s="3" t="n"/>
      <c r="D28" s="3" t="n"/>
      <c r="E28" s="4" t="n"/>
      <c r="F28" s="2" t="n"/>
      <c r="G28" s="5" t="n"/>
      <c r="H28" s="5" t="n"/>
      <c r="I28" s="4" t="n"/>
      <c r="J28" s="6">
        <f>IF(C28="","",E28+F28)</f>
        <v/>
      </c>
      <c r="K28" s="7">
        <f>IF(C28="","",G28-H28)</f>
        <v/>
      </c>
      <c r="L28" s="8">
        <f>IF(C28="","",IF(K28&lt;=0,0,MAX(0,I28-J28)))</f>
        <v/>
      </c>
      <c r="M28" s="9">
        <f>IF(C28="","",IF(K28&lt;0,"Thu vượt - kiểm tra lại",IF(K28=0,"Đã thu đủ",IF(L28=0,"Trong hạn",IF(L28&lt;=30,"Quá hạn 1-30 ngày",IF(L28&lt;=60,"Quá hạn 31-60 ngày","Quá hạn trên 60 ngày"))))))</f>
        <v/>
      </c>
    </row>
    <row r="29">
      <c r="A29" s="2" t="n"/>
      <c r="B29" s="3" t="n"/>
      <c r="C29" s="3" t="n"/>
      <c r="D29" s="3" t="n"/>
      <c r="E29" s="4" t="n"/>
      <c r="F29" s="2" t="n"/>
      <c r="G29" s="5" t="n"/>
      <c r="H29" s="5" t="n"/>
      <c r="I29" s="4" t="n"/>
      <c r="J29" s="6">
        <f>IF(C29="","",E29+F29)</f>
        <v/>
      </c>
      <c r="K29" s="7">
        <f>IF(C29="","",G29-H29)</f>
        <v/>
      </c>
      <c r="L29" s="8">
        <f>IF(C29="","",IF(K29&lt;=0,0,MAX(0,I29-J29)))</f>
        <v/>
      </c>
      <c r="M29" s="9">
        <f>IF(C29="","",IF(K29&lt;0,"Thu vượt - kiểm tra lại",IF(K29=0,"Đã thu đủ",IF(L29=0,"Trong hạn",IF(L29&lt;=30,"Quá hạn 1-30 ngày",IF(L29&lt;=60,"Quá hạn 31-60 ngày","Quá hạn trên 60 ngày"))))))</f>
        <v/>
      </c>
    </row>
    <row r="30">
      <c r="A30" s="2" t="n"/>
      <c r="B30" s="3" t="n"/>
      <c r="C30" s="3" t="n"/>
      <c r="D30" s="3" t="n"/>
      <c r="E30" s="4" t="n"/>
      <c r="F30" s="2" t="n"/>
      <c r="G30" s="5" t="n"/>
      <c r="H30" s="5" t="n"/>
      <c r="I30" s="4" t="n"/>
      <c r="J30" s="6">
        <f>IF(C30="","",E30+F30)</f>
        <v/>
      </c>
      <c r="K30" s="7">
        <f>IF(C30="","",G30-H30)</f>
        <v/>
      </c>
      <c r="L30" s="8">
        <f>IF(C30="","",IF(K30&lt;=0,0,MAX(0,I30-J30)))</f>
        <v/>
      </c>
      <c r="M30" s="9">
        <f>IF(C30="","",IF(K30&lt;0,"Thu vượt - kiểm tra lại",IF(K30=0,"Đã thu đủ",IF(L30=0,"Trong hạn",IF(L30&lt;=30,"Quá hạn 1-30 ngày",IF(L30&lt;=60,"Quá hạn 31-60 ngày","Quá hạn trên 60 ngày"))))))</f>
        <v/>
      </c>
    </row>
    <row r="31">
      <c r="A31" s="2" t="n"/>
      <c r="B31" s="3" t="n"/>
      <c r="C31" s="3" t="n"/>
      <c r="D31" s="3" t="n"/>
      <c r="E31" s="4" t="n"/>
      <c r="F31" s="2" t="n"/>
      <c r="G31" s="5" t="n"/>
      <c r="H31" s="5" t="n"/>
      <c r="I31" s="4" t="n"/>
      <c r="J31" s="6">
        <f>IF(C31="","",E31+F31)</f>
        <v/>
      </c>
      <c r="K31" s="7">
        <f>IF(C31="","",G31-H31)</f>
        <v/>
      </c>
      <c r="L31" s="8">
        <f>IF(C31="","",IF(K31&lt;=0,0,MAX(0,I31-J31)))</f>
        <v/>
      </c>
      <c r="M31" s="9">
        <f>IF(C31="","",IF(K31&lt;0,"Thu vượt - kiểm tra lại",IF(K31=0,"Đã thu đủ",IF(L31=0,"Trong hạn",IF(L31&lt;=30,"Quá hạn 1-30 ngày",IF(L31&lt;=60,"Quá hạn 31-60 ngày","Quá hạn trên 60 ngày"))))))</f>
        <v/>
      </c>
    </row>
    <row r="32">
      <c r="A32" s="2" t="n"/>
      <c r="B32" s="3" t="n"/>
      <c r="C32" s="3" t="n"/>
      <c r="D32" s="3" t="n"/>
      <c r="E32" s="4" t="n"/>
      <c r="F32" s="2" t="n"/>
      <c r="G32" s="5" t="n"/>
      <c r="H32" s="5" t="n"/>
      <c r="I32" s="4" t="n"/>
      <c r="J32" s="6">
        <f>IF(C32="","",E32+F32)</f>
        <v/>
      </c>
      <c r="K32" s="7">
        <f>IF(C32="","",G32-H32)</f>
        <v/>
      </c>
      <c r="L32" s="8">
        <f>IF(C32="","",IF(K32&lt;=0,0,MAX(0,I32-J32)))</f>
        <v/>
      </c>
      <c r="M32" s="9">
        <f>IF(C32="","",IF(K32&lt;0,"Thu vượt - kiểm tra lại",IF(K32=0,"Đã thu đủ",IF(L32=0,"Trong hạn",IF(L32&lt;=30,"Quá hạn 1-30 ngày",IF(L32&lt;=60,"Quá hạn 31-60 ngày","Quá hạn trên 60 ngày"))))))</f>
        <v/>
      </c>
    </row>
    <row r="33">
      <c r="A33" s="2" t="n"/>
      <c r="B33" s="3" t="n"/>
      <c r="C33" s="3" t="n"/>
      <c r="D33" s="3" t="n"/>
      <c r="E33" s="4" t="n"/>
      <c r="F33" s="2" t="n"/>
      <c r="G33" s="5" t="n"/>
      <c r="H33" s="5" t="n"/>
      <c r="I33" s="4" t="n"/>
      <c r="J33" s="6">
        <f>IF(C33="","",E33+F33)</f>
        <v/>
      </c>
      <c r="K33" s="7">
        <f>IF(C33="","",G33-H33)</f>
        <v/>
      </c>
      <c r="L33" s="8">
        <f>IF(C33="","",IF(K33&lt;=0,0,MAX(0,I33-J33)))</f>
        <v/>
      </c>
      <c r="M33" s="9">
        <f>IF(C33="","",IF(K33&lt;0,"Thu vượt - kiểm tra lại",IF(K33=0,"Đã thu đủ",IF(L33=0,"Trong hạn",IF(L33&lt;=30,"Quá hạn 1-30 ngày",IF(L33&lt;=60,"Quá hạn 31-60 ngày","Quá hạn trên 60 ngày"))))))</f>
        <v/>
      </c>
    </row>
    <row r="34">
      <c r="A34" s="2" t="n"/>
      <c r="B34" s="3" t="n"/>
      <c r="C34" s="3" t="n"/>
      <c r="D34" s="3" t="n"/>
      <c r="E34" s="4" t="n"/>
      <c r="F34" s="2" t="n"/>
      <c r="G34" s="5" t="n"/>
      <c r="H34" s="5" t="n"/>
      <c r="I34" s="4" t="n"/>
      <c r="J34" s="6">
        <f>IF(C34="","",E34+F34)</f>
        <v/>
      </c>
      <c r="K34" s="7">
        <f>IF(C34="","",G34-H34)</f>
        <v/>
      </c>
      <c r="L34" s="8">
        <f>IF(C34="","",IF(K34&lt;=0,0,MAX(0,I34-J34)))</f>
        <v/>
      </c>
      <c r="M34" s="9">
        <f>IF(C34="","",IF(K34&lt;0,"Thu vượt - kiểm tra lại",IF(K34=0,"Đã thu đủ",IF(L34=0,"Trong hạn",IF(L34&lt;=30,"Quá hạn 1-30 ngày",IF(L34&lt;=60,"Quá hạn 31-60 ngày","Quá hạn trên 60 ngày"))))))</f>
        <v/>
      </c>
    </row>
    <row r="35">
      <c r="A35" s="2" t="n"/>
      <c r="B35" s="3" t="n"/>
      <c r="C35" s="3" t="n"/>
      <c r="D35" s="3" t="n"/>
      <c r="E35" s="4" t="n"/>
      <c r="F35" s="2" t="n"/>
      <c r="G35" s="5" t="n"/>
      <c r="H35" s="5" t="n"/>
      <c r="I35" s="4" t="n"/>
      <c r="J35" s="6">
        <f>IF(C35="","",E35+F35)</f>
        <v/>
      </c>
      <c r="K35" s="7">
        <f>IF(C35="","",G35-H35)</f>
        <v/>
      </c>
      <c r="L35" s="8">
        <f>IF(C35="","",IF(K35&lt;=0,0,MAX(0,I35-J35)))</f>
        <v/>
      </c>
      <c r="M35" s="9">
        <f>IF(C35="","",IF(K35&lt;0,"Thu vượt - kiểm tra lại",IF(K35=0,"Đã thu đủ",IF(L35=0,"Trong hạn",IF(L35&lt;=30,"Quá hạn 1-30 ngày",IF(L35&lt;=60,"Quá hạn 31-60 ngày","Quá hạn trên 60 ngày"))))))</f>
        <v/>
      </c>
    </row>
    <row r="36">
      <c r="A36" s="2" t="n"/>
      <c r="B36" s="3" t="n"/>
      <c r="C36" s="3" t="n"/>
      <c r="D36" s="3" t="n"/>
      <c r="E36" s="4" t="n"/>
      <c r="F36" s="2" t="n"/>
      <c r="G36" s="5" t="n"/>
      <c r="H36" s="5" t="n"/>
      <c r="I36" s="4" t="n"/>
      <c r="J36" s="6">
        <f>IF(C36="","",E36+F36)</f>
        <v/>
      </c>
      <c r="K36" s="7">
        <f>IF(C36="","",G36-H36)</f>
        <v/>
      </c>
      <c r="L36" s="8">
        <f>IF(C36="","",IF(K36&lt;=0,0,MAX(0,I36-J36)))</f>
        <v/>
      </c>
      <c r="M36" s="9">
        <f>IF(C36="","",IF(K36&lt;0,"Thu vượt - kiểm tra lại",IF(K36=0,"Đã thu đủ",IF(L36=0,"Trong hạn",IF(L36&lt;=30,"Quá hạn 1-30 ngày",IF(L36&lt;=60,"Quá hạn 31-60 ngày","Quá hạn trên 60 ngày"))))))</f>
        <v/>
      </c>
    </row>
    <row r="37">
      <c r="A37" s="2" t="n"/>
      <c r="B37" s="3" t="n"/>
      <c r="C37" s="3" t="n"/>
      <c r="D37" s="3" t="n"/>
      <c r="E37" s="4" t="n"/>
      <c r="F37" s="2" t="n"/>
      <c r="G37" s="5" t="n"/>
      <c r="H37" s="5" t="n"/>
      <c r="I37" s="4" t="n"/>
      <c r="J37" s="6">
        <f>IF(C37="","",E37+F37)</f>
        <v/>
      </c>
      <c r="K37" s="7">
        <f>IF(C37="","",G37-H37)</f>
        <v/>
      </c>
      <c r="L37" s="8">
        <f>IF(C37="","",IF(K37&lt;=0,0,MAX(0,I37-J37)))</f>
        <v/>
      </c>
      <c r="M37" s="9">
        <f>IF(C37="","",IF(K37&lt;0,"Thu vượt - kiểm tra lại",IF(K37=0,"Đã thu đủ",IF(L37=0,"Trong hạn",IF(L37&lt;=30,"Quá hạn 1-30 ngày",IF(L37&lt;=60,"Quá hạn 31-60 ngày","Quá hạn trên 60 ngày"))))))</f>
        <v/>
      </c>
    </row>
  </sheetData>
  <autoFilter ref="A1:M37"/>
  <dataValidations count="3">
    <dataValidation sqref="F2:F37" showDropDown="0" showInputMessage="0" showErrorMessage="0" allowBlank="1" errorTitle="Sai định dạng" error="Giá trị không hợp lệ cho cột này." type="whole" operator="between">
      <formula1>0</formula1>
      <formula2>180</formula2>
    </dataValidation>
    <dataValidation sqref="G2:G37" showDropDown="0" showInputMessage="0" showErrorMessage="0" allowBlank="1" errorTitle="Sai định dạng" error="Giá trị không hợp lệ cho cột này." type="decimal" operator="between">
      <formula1>0</formula1>
      <formula2>10000000000</formula2>
    </dataValidation>
    <dataValidation sqref="H2:H37" showDropDown="0" showInputMessage="0" showErrorMessage="0" allowBlank="1" errorTitle="Sai định dạng" error="Giá trị không hợp lệ cho cột này." type="decimal" operator="between">
      <formula1>0</formula1>
      <formula2>10000000000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100" customWidth="1" min="2" max="2"/>
  </cols>
  <sheetData>
    <row r="1">
      <c r="B1" s="10" t="inlineStr">
        <is>
          <t>Mẫu Excel theo dõi công nợ phải thu khách hàng (tự phân nhóm tuổi nợ)</t>
        </is>
      </c>
    </row>
    <row r="2">
      <c r="B2" s="11" t="inlineStr"/>
    </row>
    <row r="3">
      <c r="B3" s="12" t="inlineStr">
        <is>
          <t>CÁCH DÙNG</t>
        </is>
      </c>
    </row>
    <row r="4">
      <c r="B4" s="13" t="inlineStr">
        <is>
          <t>1. Nhập ngày chốt số liệu</t>
        </is>
      </c>
    </row>
    <row r="5">
      <c r="B5" s="11" t="inlineStr">
        <is>
          <t xml:space="preserve">   Cột Ngày chốt số liệu là ngày bạn muốn tính tuổi nợ, thường là ngày cuối tháng hoặc ngày hôm nay. Nhập vào dòng đầu rồi kéo xuống cho cả bảng cùng một ngày, vì so sánh tuổi nợ chỉ có nghĩa khi mọi dòng cùng chốt tại một thời điểm.</t>
        </is>
      </c>
    </row>
    <row r="6">
      <c r="B6" s="13" t="inlineStr">
        <is>
          <t>2. Nhập từng hóa đơn thành một dòng</t>
        </is>
      </c>
    </row>
    <row r="7">
      <c r="B7" s="11" t="inlineStr">
        <is>
          <t xml:space="preserve">   Điền mã khách hàng, tên khách hàng, số hóa đơn, ngày hóa đơn và số ngày được nợ theo hợp đồng. Cùng một khách hàng có ba hóa đơn thì ghi ba dòng, đừng cộng gộp lại vì mỗi hóa đơn có hạn thanh toán riêng.</t>
        </is>
      </c>
    </row>
    <row r="8">
      <c r="B8" s="13" t="inlineStr">
        <is>
          <t>3. Cập nhật số đã thanh toán</t>
        </is>
      </c>
    </row>
    <row r="9">
      <c r="B9" s="11" t="inlineStr">
        <is>
          <t xml:space="preserve">   Mỗi lần khách trả tiền, cộng thêm vào cột Đã thanh toán của đúng dòng hóa đơn đó. Bốn cột bên phải sẽ tự tính lại, kể cả nhóm tuổi nợ.</t>
        </is>
      </c>
    </row>
    <row r="10">
      <c r="B10" s="13" t="inlineStr">
        <is>
          <t>4. Sắp xếp theo số ngày quá hạn</t>
        </is>
      </c>
    </row>
    <row r="11">
      <c r="B11" s="11" t="inlineStr">
        <is>
          <t xml:space="preserve">   Bấm mũi tên ở tiêu đề cột Số ngày quá hạn rồi chọn sắp xếp từ lớn đến nhỏ. Danh sách nợ lâu nhất nổi lên đầu, đó là thứ tự bạn nên gọi điện thu hồi.</t>
        </is>
      </c>
    </row>
    <row r="12">
      <c r="B12" s="13" t="inlineStr">
        <is>
          <t>5. Đối chiếu với khách hàng định kỳ</t>
        </is>
      </c>
    </row>
    <row r="13">
      <c r="B13" s="11" t="inlineStr">
        <is>
          <t xml:space="preserve">   Cuối tháng, lọc theo một mã khách hàng rồi gửi các dòng còn phải thu cho họ xác nhận. Chênh lệch phát hiện sớm dễ xử lý hơn nhiều so với để cả năm mới đối chiếu một lần.</t>
        </is>
      </c>
    </row>
    <row r="14">
      <c r="B14" s="11" t="inlineStr"/>
    </row>
    <row r="15">
      <c r="B15" s="12" t="inlineStr">
        <is>
          <t>CÔNG THỨC TRONG FILE</t>
        </is>
      </c>
    </row>
    <row r="16">
      <c r="B16" s="13" t="inlineStr">
        <is>
          <t>Hạn thanh toán  —  =IF(C2="","",E2+F2)</t>
        </is>
      </c>
    </row>
    <row r="17">
      <c r="B17" s="11" t="inlineStr">
        <is>
          <t xml:space="preserve">   Ngày hóa đơn cộng thẳng số ngày được nợ. Excel lưu ngày dưới dạng số thứ tự nên cộng một số nguyên vào ngày sẽ ra ngày mới, không cần hàm nào khác.</t>
        </is>
      </c>
    </row>
    <row r="18">
      <c r="B18" s="13" t="inlineStr">
        <is>
          <t>Còn phải thu  —  =IF(C2="","",G2-H2)</t>
        </is>
      </c>
    </row>
    <row r="19">
      <c r="B19" s="11" t="inlineStr">
        <is>
          <t xml:space="preserve">   Số tiền trên hóa đơn trừ số khách đã trả cho chính hóa đơn đó. Bằng 0 là đã thu đủ, còn số âm nghĩa là đã thu vượt và cần rà lại việc ghi nhận khoản tiền khách trả.</t>
        </is>
      </c>
    </row>
    <row r="20">
      <c r="B20" s="13" t="inlineStr">
        <is>
          <t>Số ngày quá hạn  —  =IF(C2="","",IF(K2&lt;=0,0,MAX(0,I2-J2)))</t>
        </is>
      </c>
    </row>
    <row r="21">
      <c r="B21" s="11" t="inlineStr">
        <is>
          <t xml:space="preserve">   Hóa đơn đã thu đủ thì cho về 0 vì không còn nợ để quá hạn. Còn nợ thì lấy ngày chốt trừ hạn thanh toán, bọc MAX với 0 để hóa đơn chưa tới hạn hiện 0 thay vì một số âm.</t>
        </is>
      </c>
    </row>
    <row r="22">
      <c r="B22" s="13" t="inlineStr">
        <is>
          <t>Nhóm tuổi nợ  —  =IF(C2="","",IF(K2&lt;0,"Thu vượt - kiểm tra lại",IF(K2=0,"Đã thu đủ",IF(L2=0,"Trong hạn",IF(L2&lt;=30,"Quá hạn 1-30 ngày",IF(L2&lt;=60,"Quá hạn 31-60 ngày","Quá hạn trên 60 ngày"))))))</t>
        </is>
      </c>
    </row>
    <row r="23">
      <c r="B23" s="11" t="inlineStr">
        <is>
          <t xml:space="preserve">   Năm hàm IF lồng nhau, xét lần lượt từ trường hợp bất thường tới trường hợp nặng dần. Thứ tự các nhánh quan trọng: phải loại hết hóa đơn đã thu đủ trước, nếu không một hóa đơn trả xong từ lâu vẫn bị xếp vào nhóm quá hạn trên 60 ngày.</t>
        </is>
      </c>
    </row>
    <row r="24">
      <c r="B24" s="11" t="inlineStr"/>
    </row>
    <row r="25">
      <c r="B25" s="13" t="inlineStr">
        <is>
          <t>Bản cập nhật mới nhất và hướng dẫn chi tiết:</t>
        </is>
      </c>
    </row>
    <row r="26">
      <c r="B26" s="14" t="inlineStr">
        <is>
          <t>https://excel.nguyenvietloc.com/mau-excel/ke-toan/bang-theo-doi-cong-no-phai-thu</t>
        </is>
      </c>
    </row>
  </sheetData>
  <hyperlinks>
    <hyperlink xmlns:r="http://schemas.openxmlformats.org/officeDocument/2006/relationships" ref="B2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2026-07-30T14:22:30Z</dcterms:created>
  <dcterms:modified xsi:type="dcterms:W3CDTF">2026-07-30T14:22:30Z</dcterms:modified>
</cp:coreProperties>
</file>