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ông nợ phải trả" sheetId="1" state="visible" r:id="rId1"/>
    <sheet name="Hướng dẫn" sheetId="2" state="visible" r:id="rId2"/>
  </sheets>
  <definedNames>
    <definedName name="_xlnm._FilterDatabase" localSheetId="0" hidden="1">'Công nợ phải trả'!$A$1:$M$37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6" fontId="0" fillId="3" borderId="1" pivotButton="0" quotePrefix="0" xfId="0"/>
    <xf numFmtId="167" fontId="0" fillId="3"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heo-doi-cong-no-phai-tra" TargetMode="External" Id="rId1" /></Relationships>
</file>

<file path=xl/worksheets/sheet1.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4" customWidth="1" min="4" max="4"/>
    <col width="14" customWidth="1" min="5" max="5"/>
    <col width="14" customWidth="1" min="6" max="6"/>
    <col width="18" customWidth="1" min="7" max="7"/>
    <col width="18" customWidth="1" min="8" max="8"/>
    <col width="15" customWidth="1" min="9" max="9"/>
    <col width="14" customWidth="1" min="10" max="10"/>
    <col width="18" customWidth="1" min="11" max="11"/>
    <col width="14" customWidth="1" min="12" max="12"/>
    <col width="26" customWidth="1" min="13" max="13"/>
  </cols>
  <sheetData>
    <row r="1" ht="32" customHeight="1">
      <c r="A1" s="1" t="inlineStr">
        <is>
          <t>STT</t>
        </is>
      </c>
      <c r="B1" s="1" t="inlineStr">
        <is>
          <t>Mã NCC</t>
        </is>
      </c>
      <c r="C1" s="1" t="inlineStr">
        <is>
          <t>Tên nhà cung cấp</t>
        </is>
      </c>
      <c r="D1" s="1" t="inlineStr">
        <is>
          <t>Số hóa đơn</t>
        </is>
      </c>
      <c r="E1" s="1" t="inlineStr">
        <is>
          <t>Ngày hóa đơn</t>
        </is>
      </c>
      <c r="F1" s="1" t="inlineStr">
        <is>
          <t>Số ngày được nợ</t>
        </is>
      </c>
      <c r="G1" s="1" t="inlineStr">
        <is>
          <t>Số tiền phải trả</t>
        </is>
      </c>
      <c r="H1" s="1" t="inlineStr">
        <is>
          <t>Đã thanh toán</t>
        </is>
      </c>
      <c r="I1" s="1" t="inlineStr">
        <is>
          <t>Ngày chốt số liệu</t>
        </is>
      </c>
      <c r="J1" s="1" t="inlineStr">
        <is>
          <t>Hạn thanh toán</t>
        </is>
      </c>
      <c r="K1" s="1" t="inlineStr">
        <is>
          <t>Còn phải trả</t>
        </is>
      </c>
      <c r="L1" s="1" t="inlineStr">
        <is>
          <t>Số ngày còn lại</t>
        </is>
      </c>
      <c r="M1" s="1" t="inlineStr">
        <is>
          <t>Trạng thái</t>
        </is>
      </c>
    </row>
    <row r="2">
      <c r="A2" s="2" t="n">
        <v>1</v>
      </c>
      <c r="B2" s="3" t="inlineStr">
        <is>
          <t>NCC01</t>
        </is>
      </c>
      <c r="C2" s="3" t="inlineStr">
        <is>
          <t>Công ty TNHH Vật tư Hòa Bình</t>
        </is>
      </c>
      <c r="D2" s="3" t="inlineStr">
        <is>
          <t>HD07712</t>
        </is>
      </c>
      <c r="E2" s="4" t="n">
        <v>46198</v>
      </c>
      <c r="F2" s="2" t="n">
        <v>30</v>
      </c>
      <c r="G2" s="5" t="n">
        <v>120000000</v>
      </c>
      <c r="H2" s="5" t="n">
        <v>0</v>
      </c>
      <c r="I2" s="4" t="n">
        <v>46234</v>
      </c>
      <c r="J2" s="6">
        <f>IF(C2="","",E2+F2)</f>
        <v/>
      </c>
      <c r="K2" s="7">
        <f>IF(C2="","",G2-H2)</f>
        <v/>
      </c>
      <c r="L2" s="8">
        <f>IF(C2="","",IF(K2&lt;=0,0,J2-I2))</f>
        <v/>
      </c>
      <c r="M2" s="9">
        <f>IF(C2="","",IF(K2&lt;0,"Trả vượt - kiểm tra lại",IF(K2=0,"Đã trả đủ",IF(L2&lt;0,"Quá hạn",IF(L2&lt;=7,"Sắp đến hạn","Trong hạn")))))</f>
        <v/>
      </c>
    </row>
    <row r="3">
      <c r="A3" s="2" t="n">
        <v>2</v>
      </c>
      <c r="B3" s="3" t="inlineStr">
        <is>
          <t>NCC02</t>
        </is>
      </c>
      <c r="C3" s="3" t="inlineStr">
        <is>
          <t>Công ty CP Bao bì Tân Á</t>
        </is>
      </c>
      <c r="D3" s="3" t="inlineStr">
        <is>
          <t>HD07740</t>
        </is>
      </c>
      <c r="E3" s="4" t="n">
        <v>46208</v>
      </c>
      <c r="F3" s="2" t="n">
        <v>30</v>
      </c>
      <c r="G3" s="5" t="n">
        <v>46000000</v>
      </c>
      <c r="H3" s="5" t="n">
        <v>20000000</v>
      </c>
      <c r="I3" s="4" t="n">
        <v>46234</v>
      </c>
      <c r="J3" s="6">
        <f>IF(C3="","",E3+F3)</f>
        <v/>
      </c>
      <c r="K3" s="7">
        <f>IF(C3="","",G3-H3)</f>
        <v/>
      </c>
      <c r="L3" s="8">
        <f>IF(C3="","",IF(K3&lt;=0,0,J3-I3))</f>
        <v/>
      </c>
      <c r="M3" s="9">
        <f>IF(C3="","",IF(K3&lt;0,"Trả vượt - kiểm tra lại",IF(K3=0,"Đã trả đủ",IF(L3&lt;0,"Quá hạn",IF(L3&lt;=7,"Sắp đến hạn","Trong hạn")))))</f>
        <v/>
      </c>
    </row>
    <row r="4">
      <c r="A4" s="2" t="n">
        <v>3</v>
      </c>
      <c r="B4" s="3" t="inlineStr">
        <is>
          <t>NCC03</t>
        </is>
      </c>
      <c r="C4" s="3" t="inlineStr">
        <is>
          <t>Công ty TNHH Vận tải Đông Dương</t>
        </is>
      </c>
      <c r="D4" s="3" t="inlineStr">
        <is>
          <t>HD07755</t>
        </is>
      </c>
      <c r="E4" s="4" t="n">
        <v>46221</v>
      </c>
      <c r="F4" s="2" t="n">
        <v>45</v>
      </c>
      <c r="G4" s="5" t="n">
        <v>18500000</v>
      </c>
      <c r="H4" s="5" t="n">
        <v>0</v>
      </c>
      <c r="I4" s="4" t="n">
        <v>46234</v>
      </c>
      <c r="J4" s="6">
        <f>IF(C4="","",E4+F4)</f>
        <v/>
      </c>
      <c r="K4" s="7">
        <f>IF(C4="","",G4-H4)</f>
        <v/>
      </c>
      <c r="L4" s="8">
        <f>IF(C4="","",IF(K4&lt;=0,0,J4-I4))</f>
        <v/>
      </c>
      <c r="M4" s="9">
        <f>IF(C4="","",IF(K4&lt;0,"Trả vượt - kiểm tra lại",IF(K4=0,"Đã trả đủ",IF(L4&lt;0,"Quá hạn",IF(L4&lt;=7,"Sắp đến hạn","Trong hạn")))))</f>
        <v/>
      </c>
    </row>
    <row r="5">
      <c r="A5" s="2" t="n">
        <v>4</v>
      </c>
      <c r="B5" s="3" t="inlineStr">
        <is>
          <t>NCC01</t>
        </is>
      </c>
      <c r="C5" s="3" t="inlineStr">
        <is>
          <t>Công ty TNHH Vật tư Hòa Bình</t>
        </is>
      </c>
      <c r="D5" s="3" t="inlineStr">
        <is>
          <t>HD07690</t>
        </is>
      </c>
      <c r="E5" s="4" t="n">
        <v>46162</v>
      </c>
      <c r="F5" s="2" t="n">
        <v>30</v>
      </c>
      <c r="G5" s="5" t="n">
        <v>75000000</v>
      </c>
      <c r="H5" s="5" t="n">
        <v>75000000</v>
      </c>
      <c r="I5" s="4" t="n">
        <v>46234</v>
      </c>
      <c r="J5" s="6">
        <f>IF(C5="","",E5+F5)</f>
        <v/>
      </c>
      <c r="K5" s="7">
        <f>IF(C5="","",G5-H5)</f>
        <v/>
      </c>
      <c r="L5" s="8">
        <f>IF(C5="","",IF(K5&lt;=0,0,J5-I5))</f>
        <v/>
      </c>
      <c r="M5" s="9">
        <f>IF(C5="","",IF(K5&lt;0,"Trả vượt - kiểm tra lại",IF(K5=0,"Đã trả đủ",IF(L5&lt;0,"Quá hạn",IF(L5&lt;=7,"Sắp đến hạn","Trong hạn")))))</f>
        <v/>
      </c>
    </row>
    <row r="6">
      <c r="A6" s="2" t="n">
        <v>5</v>
      </c>
      <c r="B6" s="3" t="inlineStr">
        <is>
          <t>NCC04</t>
        </is>
      </c>
      <c r="C6" s="3" t="inlineStr">
        <is>
          <t>Công ty CP Thiết bị Nam Long</t>
        </is>
      </c>
      <c r="D6" s="3" t="inlineStr">
        <is>
          <t>HD07701</t>
        </is>
      </c>
      <c r="E6" s="4" t="n">
        <v>46140</v>
      </c>
      <c r="F6" s="2" t="n">
        <v>60</v>
      </c>
      <c r="G6" s="5" t="n">
        <v>210000000</v>
      </c>
      <c r="H6" s="5" t="n">
        <v>100000000</v>
      </c>
      <c r="I6" s="4" t="n">
        <v>46234</v>
      </c>
      <c r="J6" s="6">
        <f>IF(C6="","",E6+F6)</f>
        <v/>
      </c>
      <c r="K6" s="7">
        <f>IF(C6="","",G6-H6)</f>
        <v/>
      </c>
      <c r="L6" s="8">
        <f>IF(C6="","",IF(K6&lt;=0,0,J6-I6))</f>
        <v/>
      </c>
      <c r="M6" s="9">
        <f>IF(C6="","",IF(K6&lt;0,"Trả vượt - kiểm tra lại",IF(K6=0,"Đã trả đủ",IF(L6&lt;0,"Quá hạn",IF(L6&lt;=7,"Sắp đến hạn","Trong hạn")))))</f>
        <v/>
      </c>
    </row>
    <row r="7">
      <c r="A7" s="2" t="n">
        <v>6</v>
      </c>
      <c r="B7" s="3" t="inlineStr">
        <is>
          <t>NCC05</t>
        </is>
      </c>
      <c r="C7" s="3" t="inlineStr">
        <is>
          <t>Hộ kinh doanh Phú Thành</t>
        </is>
      </c>
      <c r="D7" s="3" t="inlineStr">
        <is>
          <t>HD07760</t>
        </is>
      </c>
      <c r="E7" s="4" t="n">
        <v>46227</v>
      </c>
      <c r="F7" s="2" t="n">
        <v>15</v>
      </c>
      <c r="G7" s="5" t="n">
        <v>9800000</v>
      </c>
      <c r="H7" s="5" t="n">
        <v>0</v>
      </c>
      <c r="I7" s="4" t="n">
        <v>46234</v>
      </c>
      <c r="J7" s="6">
        <f>IF(C7="","",E7+F7)</f>
        <v/>
      </c>
      <c r="K7" s="7">
        <f>IF(C7="","",G7-H7)</f>
        <v/>
      </c>
      <c r="L7" s="8">
        <f>IF(C7="","",IF(K7&lt;=0,0,J7-I7))</f>
        <v/>
      </c>
      <c r="M7" s="9">
        <f>IF(C7="","",IF(K7&lt;0,"Trả vượt - kiểm tra lại",IF(K7=0,"Đã trả đủ",IF(L7&lt;0,"Quá hạn",IF(L7&lt;=7,"Sắp đến hạn","Trong hạn")))))</f>
        <v/>
      </c>
    </row>
    <row r="8">
      <c r="A8" s="2" t="n"/>
      <c r="B8" s="3" t="n"/>
      <c r="C8" s="3" t="n"/>
      <c r="D8" s="3" t="n"/>
      <c r="E8" s="4" t="n"/>
      <c r="F8" s="2" t="n"/>
      <c r="G8" s="5" t="n"/>
      <c r="H8" s="5" t="n"/>
      <c r="I8" s="4" t="n"/>
      <c r="J8" s="6">
        <f>IF(C8="","",E8+F8)</f>
        <v/>
      </c>
      <c r="K8" s="7">
        <f>IF(C8="","",G8-H8)</f>
        <v/>
      </c>
      <c r="L8" s="8">
        <f>IF(C8="","",IF(K8&lt;=0,0,J8-I8))</f>
        <v/>
      </c>
      <c r="M8" s="9">
        <f>IF(C8="","",IF(K8&lt;0,"Trả vượt - kiểm tra lại",IF(K8=0,"Đã trả đủ",IF(L8&lt;0,"Quá hạn",IF(L8&lt;=7,"Sắp đến hạn","Trong hạn")))))</f>
        <v/>
      </c>
    </row>
    <row r="9">
      <c r="A9" s="2" t="n"/>
      <c r="B9" s="3" t="n"/>
      <c r="C9" s="3" t="n"/>
      <c r="D9" s="3" t="n"/>
      <c r="E9" s="4" t="n"/>
      <c r="F9" s="2" t="n"/>
      <c r="G9" s="5" t="n"/>
      <c r="H9" s="5" t="n"/>
      <c r="I9" s="4" t="n"/>
      <c r="J9" s="6">
        <f>IF(C9="","",E9+F9)</f>
        <v/>
      </c>
      <c r="K9" s="7">
        <f>IF(C9="","",G9-H9)</f>
        <v/>
      </c>
      <c r="L9" s="8">
        <f>IF(C9="","",IF(K9&lt;=0,0,J9-I9))</f>
        <v/>
      </c>
      <c r="M9" s="9">
        <f>IF(C9="","",IF(K9&lt;0,"Trả vượt - kiểm tra lại",IF(K9=0,"Đã trả đủ",IF(L9&lt;0,"Quá hạn",IF(L9&lt;=7,"Sắp đến hạn","Trong hạn")))))</f>
        <v/>
      </c>
    </row>
    <row r="10">
      <c r="A10" s="2" t="n"/>
      <c r="B10" s="3" t="n"/>
      <c r="C10" s="3" t="n"/>
      <c r="D10" s="3" t="n"/>
      <c r="E10" s="4" t="n"/>
      <c r="F10" s="2" t="n"/>
      <c r="G10" s="5" t="n"/>
      <c r="H10" s="5" t="n"/>
      <c r="I10" s="4" t="n"/>
      <c r="J10" s="6">
        <f>IF(C10="","",E10+F10)</f>
        <v/>
      </c>
      <c r="K10" s="7">
        <f>IF(C10="","",G10-H10)</f>
        <v/>
      </c>
      <c r="L10" s="8">
        <f>IF(C10="","",IF(K10&lt;=0,0,J10-I10))</f>
        <v/>
      </c>
      <c r="M10" s="9">
        <f>IF(C10="","",IF(K10&lt;0,"Trả vượt - kiểm tra lại",IF(K10=0,"Đã trả đủ",IF(L10&lt;0,"Quá hạn",IF(L10&lt;=7,"Sắp đến hạn","Trong hạn")))))</f>
        <v/>
      </c>
    </row>
    <row r="11">
      <c r="A11" s="2" t="n"/>
      <c r="B11" s="3" t="n"/>
      <c r="C11" s="3" t="n"/>
      <c r="D11" s="3" t="n"/>
      <c r="E11" s="4" t="n"/>
      <c r="F11" s="2" t="n"/>
      <c r="G11" s="5" t="n"/>
      <c r="H11" s="5" t="n"/>
      <c r="I11" s="4" t="n"/>
      <c r="J11" s="6">
        <f>IF(C11="","",E11+F11)</f>
        <v/>
      </c>
      <c r="K11" s="7">
        <f>IF(C11="","",G11-H11)</f>
        <v/>
      </c>
      <c r="L11" s="8">
        <f>IF(C11="","",IF(K11&lt;=0,0,J11-I11))</f>
        <v/>
      </c>
      <c r="M11" s="9">
        <f>IF(C11="","",IF(K11&lt;0,"Trả vượt - kiểm tra lại",IF(K11=0,"Đã trả đủ",IF(L11&lt;0,"Quá hạn",IF(L11&lt;=7,"Sắp đến hạn","Trong hạn")))))</f>
        <v/>
      </c>
    </row>
    <row r="12">
      <c r="A12" s="2" t="n"/>
      <c r="B12" s="3" t="n"/>
      <c r="C12" s="3" t="n"/>
      <c r="D12" s="3" t="n"/>
      <c r="E12" s="4" t="n"/>
      <c r="F12" s="2" t="n"/>
      <c r="G12" s="5" t="n"/>
      <c r="H12" s="5" t="n"/>
      <c r="I12" s="4" t="n"/>
      <c r="J12" s="6">
        <f>IF(C12="","",E12+F12)</f>
        <v/>
      </c>
      <c r="K12" s="7">
        <f>IF(C12="","",G12-H12)</f>
        <v/>
      </c>
      <c r="L12" s="8">
        <f>IF(C12="","",IF(K12&lt;=0,0,J12-I12))</f>
        <v/>
      </c>
      <c r="M12" s="9">
        <f>IF(C12="","",IF(K12&lt;0,"Trả vượt - kiểm tra lại",IF(K12=0,"Đã trả đủ",IF(L12&lt;0,"Quá hạn",IF(L12&lt;=7,"Sắp đến hạn","Trong hạn")))))</f>
        <v/>
      </c>
    </row>
    <row r="13">
      <c r="A13" s="2" t="n"/>
      <c r="B13" s="3" t="n"/>
      <c r="C13" s="3" t="n"/>
      <c r="D13" s="3" t="n"/>
      <c r="E13" s="4" t="n"/>
      <c r="F13" s="2" t="n"/>
      <c r="G13" s="5" t="n"/>
      <c r="H13" s="5" t="n"/>
      <c r="I13" s="4" t="n"/>
      <c r="J13" s="6">
        <f>IF(C13="","",E13+F13)</f>
        <v/>
      </c>
      <c r="K13" s="7">
        <f>IF(C13="","",G13-H13)</f>
        <v/>
      </c>
      <c r="L13" s="8">
        <f>IF(C13="","",IF(K13&lt;=0,0,J13-I13))</f>
        <v/>
      </c>
      <c r="M13" s="9">
        <f>IF(C13="","",IF(K13&lt;0,"Trả vượt - kiểm tra lại",IF(K13=0,"Đã trả đủ",IF(L13&lt;0,"Quá hạn",IF(L13&lt;=7,"Sắp đến hạn","Trong hạn")))))</f>
        <v/>
      </c>
    </row>
    <row r="14">
      <c r="A14" s="2" t="n"/>
      <c r="B14" s="3" t="n"/>
      <c r="C14" s="3" t="n"/>
      <c r="D14" s="3" t="n"/>
      <c r="E14" s="4" t="n"/>
      <c r="F14" s="2" t="n"/>
      <c r="G14" s="5" t="n"/>
      <c r="H14" s="5" t="n"/>
      <c r="I14" s="4" t="n"/>
      <c r="J14" s="6">
        <f>IF(C14="","",E14+F14)</f>
        <v/>
      </c>
      <c r="K14" s="7">
        <f>IF(C14="","",G14-H14)</f>
        <v/>
      </c>
      <c r="L14" s="8">
        <f>IF(C14="","",IF(K14&lt;=0,0,J14-I14))</f>
        <v/>
      </c>
      <c r="M14" s="9">
        <f>IF(C14="","",IF(K14&lt;0,"Trả vượt - kiểm tra lại",IF(K14=0,"Đã trả đủ",IF(L14&lt;0,"Quá hạn",IF(L14&lt;=7,"Sắp đến hạn","Trong hạn")))))</f>
        <v/>
      </c>
    </row>
    <row r="15">
      <c r="A15" s="2" t="n"/>
      <c r="B15" s="3" t="n"/>
      <c r="C15" s="3" t="n"/>
      <c r="D15" s="3" t="n"/>
      <c r="E15" s="4" t="n"/>
      <c r="F15" s="2" t="n"/>
      <c r="G15" s="5" t="n"/>
      <c r="H15" s="5" t="n"/>
      <c r="I15" s="4" t="n"/>
      <c r="J15" s="6">
        <f>IF(C15="","",E15+F15)</f>
        <v/>
      </c>
      <c r="K15" s="7">
        <f>IF(C15="","",G15-H15)</f>
        <v/>
      </c>
      <c r="L15" s="8">
        <f>IF(C15="","",IF(K15&lt;=0,0,J15-I15))</f>
        <v/>
      </c>
      <c r="M15" s="9">
        <f>IF(C15="","",IF(K15&lt;0,"Trả vượt - kiểm tra lại",IF(K15=0,"Đã trả đủ",IF(L15&lt;0,"Quá hạn",IF(L15&lt;=7,"Sắp đến hạn","Trong hạn")))))</f>
        <v/>
      </c>
    </row>
    <row r="16">
      <c r="A16" s="2" t="n"/>
      <c r="B16" s="3" t="n"/>
      <c r="C16" s="3" t="n"/>
      <c r="D16" s="3" t="n"/>
      <c r="E16" s="4" t="n"/>
      <c r="F16" s="2" t="n"/>
      <c r="G16" s="5" t="n"/>
      <c r="H16" s="5" t="n"/>
      <c r="I16" s="4" t="n"/>
      <c r="J16" s="6">
        <f>IF(C16="","",E16+F16)</f>
        <v/>
      </c>
      <c r="K16" s="7">
        <f>IF(C16="","",G16-H16)</f>
        <v/>
      </c>
      <c r="L16" s="8">
        <f>IF(C16="","",IF(K16&lt;=0,0,J16-I16))</f>
        <v/>
      </c>
      <c r="M16" s="9">
        <f>IF(C16="","",IF(K16&lt;0,"Trả vượt - kiểm tra lại",IF(K16=0,"Đã trả đủ",IF(L16&lt;0,"Quá hạn",IF(L16&lt;=7,"Sắp đến hạn","Trong hạn")))))</f>
        <v/>
      </c>
    </row>
    <row r="17">
      <c r="A17" s="2" t="n"/>
      <c r="B17" s="3" t="n"/>
      <c r="C17" s="3" t="n"/>
      <c r="D17" s="3" t="n"/>
      <c r="E17" s="4" t="n"/>
      <c r="F17" s="2" t="n"/>
      <c r="G17" s="5" t="n"/>
      <c r="H17" s="5" t="n"/>
      <c r="I17" s="4" t="n"/>
      <c r="J17" s="6">
        <f>IF(C17="","",E17+F17)</f>
        <v/>
      </c>
      <c r="K17" s="7">
        <f>IF(C17="","",G17-H17)</f>
        <v/>
      </c>
      <c r="L17" s="8">
        <f>IF(C17="","",IF(K17&lt;=0,0,J17-I17))</f>
        <v/>
      </c>
      <c r="M17" s="9">
        <f>IF(C17="","",IF(K17&lt;0,"Trả vượt - kiểm tra lại",IF(K17=0,"Đã trả đủ",IF(L17&lt;0,"Quá hạn",IF(L17&lt;=7,"Sắp đến hạn","Trong hạn")))))</f>
        <v/>
      </c>
    </row>
    <row r="18">
      <c r="A18" s="2" t="n"/>
      <c r="B18" s="3" t="n"/>
      <c r="C18" s="3" t="n"/>
      <c r="D18" s="3" t="n"/>
      <c r="E18" s="4" t="n"/>
      <c r="F18" s="2" t="n"/>
      <c r="G18" s="5" t="n"/>
      <c r="H18" s="5" t="n"/>
      <c r="I18" s="4" t="n"/>
      <c r="J18" s="6">
        <f>IF(C18="","",E18+F18)</f>
        <v/>
      </c>
      <c r="K18" s="7">
        <f>IF(C18="","",G18-H18)</f>
        <v/>
      </c>
      <c r="L18" s="8">
        <f>IF(C18="","",IF(K18&lt;=0,0,J18-I18))</f>
        <v/>
      </c>
      <c r="M18" s="9">
        <f>IF(C18="","",IF(K18&lt;0,"Trả vượt - kiểm tra lại",IF(K18=0,"Đã trả đủ",IF(L18&lt;0,"Quá hạn",IF(L18&lt;=7,"Sắp đến hạn","Trong hạn")))))</f>
        <v/>
      </c>
    </row>
    <row r="19">
      <c r="A19" s="2" t="n"/>
      <c r="B19" s="3" t="n"/>
      <c r="C19" s="3" t="n"/>
      <c r="D19" s="3" t="n"/>
      <c r="E19" s="4" t="n"/>
      <c r="F19" s="2" t="n"/>
      <c r="G19" s="5" t="n"/>
      <c r="H19" s="5" t="n"/>
      <c r="I19" s="4" t="n"/>
      <c r="J19" s="6">
        <f>IF(C19="","",E19+F19)</f>
        <v/>
      </c>
      <c r="K19" s="7">
        <f>IF(C19="","",G19-H19)</f>
        <v/>
      </c>
      <c r="L19" s="8">
        <f>IF(C19="","",IF(K19&lt;=0,0,J19-I19))</f>
        <v/>
      </c>
      <c r="M19" s="9">
        <f>IF(C19="","",IF(K19&lt;0,"Trả vượt - kiểm tra lại",IF(K19=0,"Đã trả đủ",IF(L19&lt;0,"Quá hạn",IF(L19&lt;=7,"Sắp đến hạn","Trong hạn")))))</f>
        <v/>
      </c>
    </row>
    <row r="20">
      <c r="A20" s="2" t="n"/>
      <c r="B20" s="3" t="n"/>
      <c r="C20" s="3" t="n"/>
      <c r="D20" s="3" t="n"/>
      <c r="E20" s="4" t="n"/>
      <c r="F20" s="2" t="n"/>
      <c r="G20" s="5" t="n"/>
      <c r="H20" s="5" t="n"/>
      <c r="I20" s="4" t="n"/>
      <c r="J20" s="6">
        <f>IF(C20="","",E20+F20)</f>
        <v/>
      </c>
      <c r="K20" s="7">
        <f>IF(C20="","",G20-H20)</f>
        <v/>
      </c>
      <c r="L20" s="8">
        <f>IF(C20="","",IF(K20&lt;=0,0,J20-I20))</f>
        <v/>
      </c>
      <c r="M20" s="9">
        <f>IF(C20="","",IF(K20&lt;0,"Trả vượt - kiểm tra lại",IF(K20=0,"Đã trả đủ",IF(L20&lt;0,"Quá hạn",IF(L20&lt;=7,"Sắp đến hạn","Trong hạn")))))</f>
        <v/>
      </c>
    </row>
    <row r="21">
      <c r="A21" s="2" t="n"/>
      <c r="B21" s="3" t="n"/>
      <c r="C21" s="3" t="n"/>
      <c r="D21" s="3" t="n"/>
      <c r="E21" s="4" t="n"/>
      <c r="F21" s="2" t="n"/>
      <c r="G21" s="5" t="n"/>
      <c r="H21" s="5" t="n"/>
      <c r="I21" s="4" t="n"/>
      <c r="J21" s="6">
        <f>IF(C21="","",E21+F21)</f>
        <v/>
      </c>
      <c r="K21" s="7">
        <f>IF(C21="","",G21-H21)</f>
        <v/>
      </c>
      <c r="L21" s="8">
        <f>IF(C21="","",IF(K21&lt;=0,0,J21-I21))</f>
        <v/>
      </c>
      <c r="M21" s="9">
        <f>IF(C21="","",IF(K21&lt;0,"Trả vượt - kiểm tra lại",IF(K21=0,"Đã trả đủ",IF(L21&lt;0,"Quá hạn",IF(L21&lt;=7,"Sắp đến hạn","Trong hạn")))))</f>
        <v/>
      </c>
    </row>
    <row r="22">
      <c r="A22" s="2" t="n"/>
      <c r="B22" s="3" t="n"/>
      <c r="C22" s="3" t="n"/>
      <c r="D22" s="3" t="n"/>
      <c r="E22" s="4" t="n"/>
      <c r="F22" s="2" t="n"/>
      <c r="G22" s="5" t="n"/>
      <c r="H22" s="5" t="n"/>
      <c r="I22" s="4" t="n"/>
      <c r="J22" s="6">
        <f>IF(C22="","",E22+F22)</f>
        <v/>
      </c>
      <c r="K22" s="7">
        <f>IF(C22="","",G22-H22)</f>
        <v/>
      </c>
      <c r="L22" s="8">
        <f>IF(C22="","",IF(K22&lt;=0,0,J22-I22))</f>
        <v/>
      </c>
      <c r="M22" s="9">
        <f>IF(C22="","",IF(K22&lt;0,"Trả vượt - kiểm tra lại",IF(K22=0,"Đã trả đủ",IF(L22&lt;0,"Quá hạn",IF(L22&lt;=7,"Sắp đến hạn","Trong hạn")))))</f>
        <v/>
      </c>
    </row>
    <row r="23">
      <c r="A23" s="2" t="n"/>
      <c r="B23" s="3" t="n"/>
      <c r="C23" s="3" t="n"/>
      <c r="D23" s="3" t="n"/>
      <c r="E23" s="4" t="n"/>
      <c r="F23" s="2" t="n"/>
      <c r="G23" s="5" t="n"/>
      <c r="H23" s="5" t="n"/>
      <c r="I23" s="4" t="n"/>
      <c r="J23" s="6">
        <f>IF(C23="","",E23+F23)</f>
        <v/>
      </c>
      <c r="K23" s="7">
        <f>IF(C23="","",G23-H23)</f>
        <v/>
      </c>
      <c r="L23" s="8">
        <f>IF(C23="","",IF(K23&lt;=0,0,J23-I23))</f>
        <v/>
      </c>
      <c r="M23" s="9">
        <f>IF(C23="","",IF(K23&lt;0,"Trả vượt - kiểm tra lại",IF(K23=0,"Đã trả đủ",IF(L23&lt;0,"Quá hạn",IF(L23&lt;=7,"Sắp đến hạn","Trong hạn")))))</f>
        <v/>
      </c>
    </row>
    <row r="24">
      <c r="A24" s="2" t="n"/>
      <c r="B24" s="3" t="n"/>
      <c r="C24" s="3" t="n"/>
      <c r="D24" s="3" t="n"/>
      <c r="E24" s="4" t="n"/>
      <c r="F24" s="2" t="n"/>
      <c r="G24" s="5" t="n"/>
      <c r="H24" s="5" t="n"/>
      <c r="I24" s="4" t="n"/>
      <c r="J24" s="6">
        <f>IF(C24="","",E24+F24)</f>
        <v/>
      </c>
      <c r="K24" s="7">
        <f>IF(C24="","",G24-H24)</f>
        <v/>
      </c>
      <c r="L24" s="8">
        <f>IF(C24="","",IF(K24&lt;=0,0,J24-I24))</f>
        <v/>
      </c>
      <c r="M24" s="9">
        <f>IF(C24="","",IF(K24&lt;0,"Trả vượt - kiểm tra lại",IF(K24=0,"Đã trả đủ",IF(L24&lt;0,"Quá hạn",IF(L24&lt;=7,"Sắp đến hạn","Trong hạn")))))</f>
        <v/>
      </c>
    </row>
    <row r="25">
      <c r="A25" s="2" t="n"/>
      <c r="B25" s="3" t="n"/>
      <c r="C25" s="3" t="n"/>
      <c r="D25" s="3" t="n"/>
      <c r="E25" s="4" t="n"/>
      <c r="F25" s="2" t="n"/>
      <c r="G25" s="5" t="n"/>
      <c r="H25" s="5" t="n"/>
      <c r="I25" s="4" t="n"/>
      <c r="J25" s="6">
        <f>IF(C25="","",E25+F25)</f>
        <v/>
      </c>
      <c r="K25" s="7">
        <f>IF(C25="","",G25-H25)</f>
        <v/>
      </c>
      <c r="L25" s="8">
        <f>IF(C25="","",IF(K25&lt;=0,0,J25-I25))</f>
        <v/>
      </c>
      <c r="M25" s="9">
        <f>IF(C25="","",IF(K25&lt;0,"Trả vượt - kiểm tra lại",IF(K25=0,"Đã trả đủ",IF(L25&lt;0,"Quá hạn",IF(L25&lt;=7,"Sắp đến hạn","Trong hạn")))))</f>
        <v/>
      </c>
    </row>
    <row r="26">
      <c r="A26" s="2" t="n"/>
      <c r="B26" s="3" t="n"/>
      <c r="C26" s="3" t="n"/>
      <c r="D26" s="3" t="n"/>
      <c r="E26" s="4" t="n"/>
      <c r="F26" s="2" t="n"/>
      <c r="G26" s="5" t="n"/>
      <c r="H26" s="5" t="n"/>
      <c r="I26" s="4" t="n"/>
      <c r="J26" s="6">
        <f>IF(C26="","",E26+F26)</f>
        <v/>
      </c>
      <c r="K26" s="7">
        <f>IF(C26="","",G26-H26)</f>
        <v/>
      </c>
      <c r="L26" s="8">
        <f>IF(C26="","",IF(K26&lt;=0,0,J26-I26))</f>
        <v/>
      </c>
      <c r="M26" s="9">
        <f>IF(C26="","",IF(K26&lt;0,"Trả vượt - kiểm tra lại",IF(K26=0,"Đã trả đủ",IF(L26&lt;0,"Quá hạn",IF(L26&lt;=7,"Sắp đến hạn","Trong hạn")))))</f>
        <v/>
      </c>
    </row>
    <row r="27">
      <c r="A27" s="2" t="n"/>
      <c r="B27" s="3" t="n"/>
      <c r="C27" s="3" t="n"/>
      <c r="D27" s="3" t="n"/>
      <c r="E27" s="4" t="n"/>
      <c r="F27" s="2" t="n"/>
      <c r="G27" s="5" t="n"/>
      <c r="H27" s="5" t="n"/>
      <c r="I27" s="4" t="n"/>
      <c r="J27" s="6">
        <f>IF(C27="","",E27+F27)</f>
        <v/>
      </c>
      <c r="K27" s="7">
        <f>IF(C27="","",G27-H27)</f>
        <v/>
      </c>
      <c r="L27" s="8">
        <f>IF(C27="","",IF(K27&lt;=0,0,J27-I27))</f>
        <v/>
      </c>
      <c r="M27" s="9">
        <f>IF(C27="","",IF(K27&lt;0,"Trả vượt - kiểm tra lại",IF(K27=0,"Đã trả đủ",IF(L27&lt;0,"Quá hạn",IF(L27&lt;=7,"Sắp đến hạn","Trong hạn")))))</f>
        <v/>
      </c>
    </row>
    <row r="28">
      <c r="A28" s="2" t="n"/>
      <c r="B28" s="3" t="n"/>
      <c r="C28" s="3" t="n"/>
      <c r="D28" s="3" t="n"/>
      <c r="E28" s="4" t="n"/>
      <c r="F28" s="2" t="n"/>
      <c r="G28" s="5" t="n"/>
      <c r="H28" s="5" t="n"/>
      <c r="I28" s="4" t="n"/>
      <c r="J28" s="6">
        <f>IF(C28="","",E28+F28)</f>
        <v/>
      </c>
      <c r="K28" s="7">
        <f>IF(C28="","",G28-H28)</f>
        <v/>
      </c>
      <c r="L28" s="8">
        <f>IF(C28="","",IF(K28&lt;=0,0,J28-I28))</f>
        <v/>
      </c>
      <c r="M28" s="9">
        <f>IF(C28="","",IF(K28&lt;0,"Trả vượt - kiểm tra lại",IF(K28=0,"Đã trả đủ",IF(L28&lt;0,"Quá hạn",IF(L28&lt;=7,"Sắp đến hạn","Trong hạn")))))</f>
        <v/>
      </c>
    </row>
    <row r="29">
      <c r="A29" s="2" t="n"/>
      <c r="B29" s="3" t="n"/>
      <c r="C29" s="3" t="n"/>
      <c r="D29" s="3" t="n"/>
      <c r="E29" s="4" t="n"/>
      <c r="F29" s="2" t="n"/>
      <c r="G29" s="5" t="n"/>
      <c r="H29" s="5" t="n"/>
      <c r="I29" s="4" t="n"/>
      <c r="J29" s="6">
        <f>IF(C29="","",E29+F29)</f>
        <v/>
      </c>
      <c r="K29" s="7">
        <f>IF(C29="","",G29-H29)</f>
        <v/>
      </c>
      <c r="L29" s="8">
        <f>IF(C29="","",IF(K29&lt;=0,0,J29-I29))</f>
        <v/>
      </c>
      <c r="M29" s="9">
        <f>IF(C29="","",IF(K29&lt;0,"Trả vượt - kiểm tra lại",IF(K29=0,"Đã trả đủ",IF(L29&lt;0,"Quá hạn",IF(L29&lt;=7,"Sắp đến hạn","Trong hạn")))))</f>
        <v/>
      </c>
    </row>
    <row r="30">
      <c r="A30" s="2" t="n"/>
      <c r="B30" s="3" t="n"/>
      <c r="C30" s="3" t="n"/>
      <c r="D30" s="3" t="n"/>
      <c r="E30" s="4" t="n"/>
      <c r="F30" s="2" t="n"/>
      <c r="G30" s="5" t="n"/>
      <c r="H30" s="5" t="n"/>
      <c r="I30" s="4" t="n"/>
      <c r="J30" s="6">
        <f>IF(C30="","",E30+F30)</f>
        <v/>
      </c>
      <c r="K30" s="7">
        <f>IF(C30="","",G30-H30)</f>
        <v/>
      </c>
      <c r="L30" s="8">
        <f>IF(C30="","",IF(K30&lt;=0,0,J30-I30))</f>
        <v/>
      </c>
      <c r="M30" s="9">
        <f>IF(C30="","",IF(K30&lt;0,"Trả vượt - kiểm tra lại",IF(K30=0,"Đã trả đủ",IF(L30&lt;0,"Quá hạn",IF(L30&lt;=7,"Sắp đến hạn","Trong hạn")))))</f>
        <v/>
      </c>
    </row>
    <row r="31">
      <c r="A31" s="2" t="n"/>
      <c r="B31" s="3" t="n"/>
      <c r="C31" s="3" t="n"/>
      <c r="D31" s="3" t="n"/>
      <c r="E31" s="4" t="n"/>
      <c r="F31" s="2" t="n"/>
      <c r="G31" s="5" t="n"/>
      <c r="H31" s="5" t="n"/>
      <c r="I31" s="4" t="n"/>
      <c r="J31" s="6">
        <f>IF(C31="","",E31+F31)</f>
        <v/>
      </c>
      <c r="K31" s="7">
        <f>IF(C31="","",G31-H31)</f>
        <v/>
      </c>
      <c r="L31" s="8">
        <f>IF(C31="","",IF(K31&lt;=0,0,J31-I31))</f>
        <v/>
      </c>
      <c r="M31" s="9">
        <f>IF(C31="","",IF(K31&lt;0,"Trả vượt - kiểm tra lại",IF(K31=0,"Đã trả đủ",IF(L31&lt;0,"Quá hạn",IF(L31&lt;=7,"Sắp đến hạn","Trong hạn")))))</f>
        <v/>
      </c>
    </row>
    <row r="32">
      <c r="A32" s="2" t="n"/>
      <c r="B32" s="3" t="n"/>
      <c r="C32" s="3" t="n"/>
      <c r="D32" s="3" t="n"/>
      <c r="E32" s="4" t="n"/>
      <c r="F32" s="2" t="n"/>
      <c r="G32" s="5" t="n"/>
      <c r="H32" s="5" t="n"/>
      <c r="I32" s="4" t="n"/>
      <c r="J32" s="6">
        <f>IF(C32="","",E32+F32)</f>
        <v/>
      </c>
      <c r="K32" s="7">
        <f>IF(C32="","",G32-H32)</f>
        <v/>
      </c>
      <c r="L32" s="8">
        <f>IF(C32="","",IF(K32&lt;=0,0,J32-I32))</f>
        <v/>
      </c>
      <c r="M32" s="9">
        <f>IF(C32="","",IF(K32&lt;0,"Trả vượt - kiểm tra lại",IF(K32=0,"Đã trả đủ",IF(L32&lt;0,"Quá hạn",IF(L32&lt;=7,"Sắp đến hạn","Trong hạn")))))</f>
        <v/>
      </c>
    </row>
    <row r="33">
      <c r="A33" s="2" t="n"/>
      <c r="B33" s="3" t="n"/>
      <c r="C33" s="3" t="n"/>
      <c r="D33" s="3" t="n"/>
      <c r="E33" s="4" t="n"/>
      <c r="F33" s="2" t="n"/>
      <c r="G33" s="5" t="n"/>
      <c r="H33" s="5" t="n"/>
      <c r="I33" s="4" t="n"/>
      <c r="J33" s="6">
        <f>IF(C33="","",E33+F33)</f>
        <v/>
      </c>
      <c r="K33" s="7">
        <f>IF(C33="","",G33-H33)</f>
        <v/>
      </c>
      <c r="L33" s="8">
        <f>IF(C33="","",IF(K33&lt;=0,0,J33-I33))</f>
        <v/>
      </c>
      <c r="M33" s="9">
        <f>IF(C33="","",IF(K33&lt;0,"Trả vượt - kiểm tra lại",IF(K33=0,"Đã trả đủ",IF(L33&lt;0,"Quá hạn",IF(L33&lt;=7,"Sắp đến hạn","Trong hạn")))))</f>
        <v/>
      </c>
    </row>
    <row r="34">
      <c r="A34" s="2" t="n"/>
      <c r="B34" s="3" t="n"/>
      <c r="C34" s="3" t="n"/>
      <c r="D34" s="3" t="n"/>
      <c r="E34" s="4" t="n"/>
      <c r="F34" s="2" t="n"/>
      <c r="G34" s="5" t="n"/>
      <c r="H34" s="5" t="n"/>
      <c r="I34" s="4" t="n"/>
      <c r="J34" s="6">
        <f>IF(C34="","",E34+F34)</f>
        <v/>
      </c>
      <c r="K34" s="7">
        <f>IF(C34="","",G34-H34)</f>
        <v/>
      </c>
      <c r="L34" s="8">
        <f>IF(C34="","",IF(K34&lt;=0,0,J34-I34))</f>
        <v/>
      </c>
      <c r="M34" s="9">
        <f>IF(C34="","",IF(K34&lt;0,"Trả vượt - kiểm tra lại",IF(K34=0,"Đã trả đủ",IF(L34&lt;0,"Quá hạn",IF(L34&lt;=7,"Sắp đến hạn","Trong hạn")))))</f>
        <v/>
      </c>
    </row>
    <row r="35">
      <c r="A35" s="2" t="n"/>
      <c r="B35" s="3" t="n"/>
      <c r="C35" s="3" t="n"/>
      <c r="D35" s="3" t="n"/>
      <c r="E35" s="4" t="n"/>
      <c r="F35" s="2" t="n"/>
      <c r="G35" s="5" t="n"/>
      <c r="H35" s="5" t="n"/>
      <c r="I35" s="4" t="n"/>
      <c r="J35" s="6">
        <f>IF(C35="","",E35+F35)</f>
        <v/>
      </c>
      <c r="K35" s="7">
        <f>IF(C35="","",G35-H35)</f>
        <v/>
      </c>
      <c r="L35" s="8">
        <f>IF(C35="","",IF(K35&lt;=0,0,J35-I35))</f>
        <v/>
      </c>
      <c r="M35" s="9">
        <f>IF(C35="","",IF(K35&lt;0,"Trả vượt - kiểm tra lại",IF(K35=0,"Đã trả đủ",IF(L35&lt;0,"Quá hạn",IF(L35&lt;=7,"Sắp đến hạn","Trong hạn")))))</f>
        <v/>
      </c>
    </row>
    <row r="36">
      <c r="A36" s="2" t="n"/>
      <c r="B36" s="3" t="n"/>
      <c r="C36" s="3" t="n"/>
      <c r="D36" s="3" t="n"/>
      <c r="E36" s="4" t="n"/>
      <c r="F36" s="2" t="n"/>
      <c r="G36" s="5" t="n"/>
      <c r="H36" s="5" t="n"/>
      <c r="I36" s="4" t="n"/>
      <c r="J36" s="6">
        <f>IF(C36="","",E36+F36)</f>
        <v/>
      </c>
      <c r="K36" s="7">
        <f>IF(C36="","",G36-H36)</f>
        <v/>
      </c>
      <c r="L36" s="8">
        <f>IF(C36="","",IF(K36&lt;=0,0,J36-I36))</f>
        <v/>
      </c>
      <c r="M36" s="9">
        <f>IF(C36="","",IF(K36&lt;0,"Trả vượt - kiểm tra lại",IF(K36=0,"Đã trả đủ",IF(L36&lt;0,"Quá hạn",IF(L36&lt;=7,"Sắp đến hạn","Trong hạn")))))</f>
        <v/>
      </c>
    </row>
    <row r="37">
      <c r="A37" s="2" t="n"/>
      <c r="B37" s="3" t="n"/>
      <c r="C37" s="3" t="n"/>
      <c r="D37" s="3" t="n"/>
      <c r="E37" s="4" t="n"/>
      <c r="F37" s="2" t="n"/>
      <c r="G37" s="5" t="n"/>
      <c r="H37" s="5" t="n"/>
      <c r="I37" s="4" t="n"/>
      <c r="J37" s="6">
        <f>IF(C37="","",E37+F37)</f>
        <v/>
      </c>
      <c r="K37" s="7">
        <f>IF(C37="","",G37-H37)</f>
        <v/>
      </c>
      <c r="L37" s="8">
        <f>IF(C37="","",IF(K37&lt;=0,0,J37-I37))</f>
        <v/>
      </c>
      <c r="M37" s="9">
        <f>IF(C37="","",IF(K37&lt;0,"Trả vượt - kiểm tra lại",IF(K37=0,"Đã trả đủ",IF(L37&lt;0,"Quá hạn",IF(L37&lt;=7,"Sắp đến hạn","Trong hạn")))))</f>
        <v/>
      </c>
    </row>
  </sheetData>
  <autoFilter ref="A1:M37"/>
  <dataValidations count="3">
    <dataValidation sqref="F2:F37" showDropDown="0" showInputMessage="0" showErrorMessage="0" allowBlank="1" errorTitle="Sai định dạng" error="Giá trị không hợp lệ cho cột này." type="whole" operator="between">
      <formula1>0</formula1>
      <formula2>180</formula2>
    </dataValidation>
    <dataValidation sqref="G2:G37" showDropDown="0" showInputMessage="0" showErrorMessage="0" allowBlank="1" errorTitle="Sai định dạng" error="Giá trị không hợp lệ cho cột này." type="decimal" operator="between">
      <formula1>0</formula1>
      <formula2>10000000000</formula2>
    </dataValidation>
    <dataValidation sqref="H2:H37" showDropDown="0" showInputMessage="0" showErrorMessage="0" allowBlank="1" errorTitle="Sai định dạng" error="Giá trị không hợp lệ cho cột này." type="decimal" operator="between">
      <formula1>0</formula1>
      <formula2>10000000000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10" t="inlineStr">
        <is>
          <t>Mẫu Excel theo dõi công nợ phải trả nhà cung cấp (cảnh báo sắp đến hạn)</t>
        </is>
      </c>
    </row>
    <row r="2">
      <c r="B2" s="11" t="inlineStr"/>
    </row>
    <row r="3">
      <c r="B3" s="12" t="inlineStr">
        <is>
          <t>CÁCH DÙNG</t>
        </is>
      </c>
    </row>
    <row r="4">
      <c r="B4" s="13" t="inlineStr">
        <is>
          <t>1. Nhập ngày chốt số liệu</t>
        </is>
      </c>
    </row>
    <row r="5">
      <c r="B5" s="11" t="inlineStr">
        <is>
          <t xml:space="preserve">   Cột Ngày chốt số liệu là mốc để đếm ngược, thường là ngày hôm nay. Nhập vào dòng đầu rồi kéo xuống cả bảng, vì các dòng phải cùng chốt một ngày thì so sánh mới có nghĩa.</t>
        </is>
      </c>
    </row>
    <row r="6">
      <c r="B6" s="13" t="inlineStr">
        <is>
          <t>2. Nhập từng hóa đơn mua hàng</t>
        </is>
      </c>
    </row>
    <row r="7">
      <c r="B7" s="11" t="inlineStr">
        <is>
          <t xml:space="preserve">   Điền mã nhà cung cấp, tên, số hóa đơn, ngày hóa đơn và số ngày được nợ theo hợp đồng mua bán. Một nhà cung cấp giao nhiều đợt thì ghi nhiều dòng, đừng cộng gộp vì hạn thanh toán của mỗi đợt khác nhau.</t>
        </is>
      </c>
    </row>
    <row r="8">
      <c r="B8" s="13" t="inlineStr">
        <is>
          <t>3. Cập nhật mỗi lần chi trả</t>
        </is>
      </c>
    </row>
    <row r="9">
      <c r="B9" s="11" t="inlineStr">
        <is>
          <t xml:space="preserve">   Trả tiền đợt nào thì cộng vào cột Đã thanh toán của đúng dòng hóa đơn đó. Bốn cột bên phải tự tính lại, hóa đơn trả xong sẽ tự chuyển sang trạng thái Đã trả đủ và thôi cảnh báo.</t>
        </is>
      </c>
    </row>
    <row r="10">
      <c r="B10" s="13" t="inlineStr">
        <is>
          <t>4. Sắp xếp theo số ngày còn lại</t>
        </is>
      </c>
    </row>
    <row r="11">
      <c r="B11" s="11" t="inlineStr">
        <is>
          <t xml:space="preserve">   Bấm mũi tên ở tiêu đề cột Số ngày còn lại rồi sắp xếp từ nhỏ đến lớn. Hóa đơn quá hạn mang số âm nên nổi lên đầu, ngay sau đó là những hóa đơn sắp phải trả.</t>
        </is>
      </c>
    </row>
    <row r="12">
      <c r="B12" s="13" t="inlineStr">
        <is>
          <t>5. Lập kế hoạch chi tiền hằng tuần</t>
        </is>
      </c>
    </row>
    <row r="13">
      <c r="B13" s="11" t="inlineStr">
        <is>
          <t xml:space="preserve">   Đầu tuần, lọc cột Trạng thái lấy hai nhóm quá hạn và sắp đến hạn, cộng cột Còn phải trả của các dòng đó lại. Con số ấy chính là số tiền bạn phải chuẩn bị trong tuần.</t>
        </is>
      </c>
    </row>
    <row r="14">
      <c r="B14" s="11" t="inlineStr"/>
    </row>
    <row r="15">
      <c r="B15" s="12" t="inlineStr">
        <is>
          <t>CÔNG THỨC TRONG FILE</t>
        </is>
      </c>
    </row>
    <row r="16">
      <c r="B16" s="13" t="inlineStr">
        <is>
          <t>Hạn thanh toán  —  =IF(C2="","",E2+F2)</t>
        </is>
      </c>
    </row>
    <row r="17">
      <c r="B17" s="11" t="inlineStr">
        <is>
          <t xml:space="preserve">   Ngày hóa đơn cộng số ngày được nợ theo hợp đồng. Excel lưu ngày dưới dạng số thứ tự nên cộng thẳng một số nguyên vào ngày là ra ngày mới.</t>
        </is>
      </c>
    </row>
    <row r="18">
      <c r="B18" s="13" t="inlineStr">
        <is>
          <t>Còn phải trả  —  =IF(C2="","",G2-H2)</t>
        </is>
      </c>
    </row>
    <row r="19">
      <c r="B19" s="11" t="inlineStr">
        <is>
          <t xml:space="preserve">   Số tiền trên hóa đơn trừ số đã chi trả cho chính hóa đơn đó. Bằng 0 là xong, còn số âm nghĩa là đã chuyển thừa tiền cho nhà cung cấp và cần đòi lại hoặc bù trừ vào đơn sau.</t>
        </is>
      </c>
    </row>
    <row r="20">
      <c r="B20" s="13" t="inlineStr">
        <is>
          <t>Số ngày còn lại  —  =IF(C2="","",IF(K2&lt;=0,0,J2-I2))</t>
        </is>
      </c>
    </row>
    <row r="21">
      <c r="B21" s="11" t="inlineStr">
        <is>
          <t xml:space="preserve">   Hạn thanh toán trừ ngày chốt: số dương là còn bấy nhiêu ngày nữa, số âm là đã trễ bấy nhiêu ngày. Hóa đơn trả xong cho về 0 để không lẫn vào danh sách cần chi tiền.</t>
        </is>
      </c>
    </row>
    <row r="22">
      <c r="B22" s="13" t="inlineStr">
        <is>
          <t>Trạng thái  —  =IF(C2="","",IF(K2&lt;0,"Trả vượt - kiểm tra lại",IF(K2=0,"Đã trả đủ",IF(L2&lt;0,"Quá hạn",IF(L2&lt;=7,"Sắp đến hạn","Trong hạn")))))</t>
        </is>
      </c>
    </row>
    <row r="23">
      <c r="B23" s="11" t="inlineStr">
        <is>
          <t xml:space="preserve">   Bốn hàm IF lồng nhau xét lần lượt: trả vượt, trả đủ, quá hạn, rồi mới tới ngưỡng bảy ngày. Phải loại hết hóa đơn đã trả đủ trước, nếu không một hóa đơn thanh toán xong từ lâu vẫn bị xếp vào nhóm quá hạn.</t>
        </is>
      </c>
    </row>
    <row r="24">
      <c r="B24" s="11" t="inlineStr"/>
    </row>
    <row r="25">
      <c r="B25" s="13" t="inlineStr">
        <is>
          <t>Bản cập nhật mới nhất và hướng dẫn chi tiết:</t>
        </is>
      </c>
    </row>
    <row r="26">
      <c r="B26" s="14" t="inlineStr">
        <is>
          <t>https://excel.nguyenvietloc.com/mau-excel/ke-toan/bang-theo-doi-cong-no-phai-tra</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2026-08-10T14:10:51Z</dcterms:created>
  <dcterms:modified xsi:type="dcterms:W3CDTF">2026-08-10T14:10:51Z</dcterms:modified>
</cp:coreProperties>
</file>