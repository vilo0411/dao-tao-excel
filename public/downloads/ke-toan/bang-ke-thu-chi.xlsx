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ảng kê thu chi" sheetId="1" state="visible" r:id="rId1"/>
    <sheet name="Hướng dẫn" sheetId="2" state="visible" r:id="rId2"/>
  </sheets>
  <definedNames>
    <definedName name="_xlnm._FilterDatabase" localSheetId="0" hidden="1">'Bảng kê thu chi'!$A$1:$K$37</definedName>
  </definedNames>
  <calcPr calcId="124519" fullCalcOnLoad="1"/>
</workbook>
</file>

<file path=xl/styles.xml><?xml version="1.0" encoding="utf-8"?>
<styleSheet xmlns="http://schemas.openxmlformats.org/spreadsheetml/2006/main">
  <numFmts count="4">
    <numFmt numFmtId="164" formatCode="#,##0.##"/>
    <numFmt numFmtId="165" formatCode="yyyy-mm-dd"/>
    <numFmt numFmtId="166" formatCode="dd/mm/yyyy"/>
    <numFmt numFmtId="167"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166" fontId="0" fillId="0" borderId="1" pivotButton="0" quotePrefix="0" xfId="0"/>
    <xf numFmtId="49" fontId="0" fillId="0" borderId="1" pivotButton="0" quotePrefix="0" xfId="0"/>
    <xf numFmtId="167" fontId="0" fillId="0" borderId="1" pivotButton="0" quotePrefix="0" xfId="0"/>
    <xf numFmtId="167"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bang-ke-thu-chi" TargetMode="External" Id="rId1" /></Relationships>
</file>

<file path=xl/worksheets/sheet1.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2" customWidth="1" min="3" max="3"/>
    <col width="20" customWidth="1" min="4" max="4"/>
    <col width="10" customWidth="1" min="5" max="5"/>
    <col width="16" customWidth="1" min="6" max="6"/>
    <col width="16" customWidth="1" min="7" max="7"/>
    <col width="16" customWidth="1" min="8" max="8"/>
    <col width="16" customWidth="1" min="9" max="9"/>
    <col width="20" customWidth="1" min="10" max="10"/>
    <col width="30" customWidth="1" min="11" max="11"/>
  </cols>
  <sheetData>
    <row r="1" ht="32" customHeight="1">
      <c r="A1" s="1" t="inlineStr">
        <is>
          <t>STT</t>
        </is>
      </c>
      <c r="B1" s="1" t="inlineStr">
        <is>
          <t>Ngày</t>
        </is>
      </c>
      <c r="C1" s="1" t="inlineStr">
        <is>
          <t>Nội dung</t>
        </is>
      </c>
      <c r="D1" s="1" t="inlineStr">
        <is>
          <t>Khoản mục</t>
        </is>
      </c>
      <c r="E1" s="1" t="inlineStr">
        <is>
          <t>Loại</t>
        </is>
      </c>
      <c r="F1" s="1" t="inlineStr">
        <is>
          <t>Hình thức</t>
        </is>
      </c>
      <c r="G1" s="1" t="inlineStr">
        <is>
          <t>Số tiền</t>
        </is>
      </c>
      <c r="H1" s="1" t="inlineStr">
        <is>
          <t>Thu</t>
        </is>
      </c>
      <c r="I1" s="1" t="inlineStr">
        <is>
          <t>Chi</t>
        </is>
      </c>
      <c r="J1" s="1" t="inlineStr">
        <is>
          <t>Dòng tiền ròng lũy kế</t>
        </is>
      </c>
      <c r="K1" s="1" t="inlineStr">
        <is>
          <t>Cảnh báo</t>
        </is>
      </c>
    </row>
    <row r="2">
      <c r="A2" s="2" t="n">
        <v>1</v>
      </c>
      <c r="B2" s="3" t="n">
        <v>46205</v>
      </c>
      <c r="C2" s="4" t="inlineStr">
        <is>
          <t>Thu tiền bán hàng hợp đồng số 12</t>
        </is>
      </c>
      <c r="D2" s="4" t="inlineStr">
        <is>
          <t>Doanh thu bán hàng</t>
        </is>
      </c>
      <c r="E2" s="4" t="inlineStr">
        <is>
          <t>Thu</t>
        </is>
      </c>
      <c r="F2" s="4" t="inlineStr">
        <is>
          <t>Chuyển khoản</t>
        </is>
      </c>
      <c r="G2" s="5" t="n">
        <v>145000000</v>
      </c>
      <c r="H2" s="6">
        <f>IF(C2="","",IF(E2="Thu",G2,0))</f>
        <v/>
      </c>
      <c r="I2" s="6">
        <f>IF(C2="","",IF(E2="Chi",G2,0))</f>
        <v/>
      </c>
      <c r="J2" s="6">
        <f>IF(C2="","",N(J1)+H2-I2)</f>
        <v/>
      </c>
      <c r="K2" s="7">
        <f>IF(C2="","",IF(AND(E2="Chi",F2="Tiền mặt",G2&gt;=20000000),"Chi tiền mặt từ 20 triệu",IF(G2=0,"Chưa nhập số tiền","Hợp lệ")))</f>
        <v/>
      </c>
    </row>
    <row r="3">
      <c r="A3" s="2" t="n">
        <v>2</v>
      </c>
      <c r="B3" s="3" t="n">
        <v>46207</v>
      </c>
      <c r="C3" s="4" t="inlineStr">
        <is>
          <t>Chi mua nguyên vật liệu lô tháng 7</t>
        </is>
      </c>
      <c r="D3" s="4" t="inlineStr">
        <is>
          <t>Mua hàng hóa</t>
        </is>
      </c>
      <c r="E3" s="4" t="inlineStr">
        <is>
          <t>Chi</t>
        </is>
      </c>
      <c r="F3" s="4" t="inlineStr">
        <is>
          <t>Chuyển khoản</t>
        </is>
      </c>
      <c r="G3" s="5" t="n">
        <v>62000000</v>
      </c>
      <c r="H3" s="6">
        <f>IF(C3="","",IF(E3="Thu",G3,0))</f>
        <v/>
      </c>
      <c r="I3" s="6">
        <f>IF(C3="","",IF(E3="Chi",G3,0))</f>
        <v/>
      </c>
      <c r="J3" s="6">
        <f>IF(C3="","",N(J2)+H3-I3)</f>
        <v/>
      </c>
      <c r="K3" s="7">
        <f>IF(C3="","",IF(AND(E3="Chi",F3="Tiền mặt",G3&gt;=20000000),"Chi tiền mặt từ 20 triệu",IF(G3=0,"Chưa nhập số tiền","Hợp lệ")))</f>
        <v/>
      </c>
    </row>
    <row r="4">
      <c r="A4" s="2" t="n">
        <v>3</v>
      </c>
      <c r="B4" s="3" t="n">
        <v>46211</v>
      </c>
      <c r="C4" s="4" t="inlineStr">
        <is>
          <t>Chi tiền thuê kho tháng 7</t>
        </is>
      </c>
      <c r="D4" s="4" t="inlineStr">
        <is>
          <t>Thuê mặt bằng</t>
        </is>
      </c>
      <c r="E4" s="4" t="inlineStr">
        <is>
          <t>Chi</t>
        </is>
      </c>
      <c r="F4" s="4" t="inlineStr">
        <is>
          <t>Tiền mặt</t>
        </is>
      </c>
      <c r="G4" s="5" t="n">
        <v>25000000</v>
      </c>
      <c r="H4" s="6">
        <f>IF(C4="","",IF(E4="Thu",G4,0))</f>
        <v/>
      </c>
      <c r="I4" s="6">
        <f>IF(C4="","",IF(E4="Chi",G4,0))</f>
        <v/>
      </c>
      <c r="J4" s="6">
        <f>IF(C4="","",N(J3)+H4-I4)</f>
        <v/>
      </c>
      <c r="K4" s="7">
        <f>IF(C4="","",IF(AND(E4="Chi",F4="Tiền mặt",G4&gt;=20000000),"Chi tiền mặt từ 20 triệu",IF(G4=0,"Chưa nhập số tiền","Hợp lệ")))</f>
        <v/>
      </c>
    </row>
    <row r="5">
      <c r="A5" s="2" t="n">
        <v>4</v>
      </c>
      <c r="B5" s="3" t="n">
        <v>46215</v>
      </c>
      <c r="C5" s="4" t="inlineStr">
        <is>
          <t>Thu tiền dịch vụ bảo trì quý III</t>
        </is>
      </c>
      <c r="D5" s="4" t="inlineStr">
        <is>
          <t>Doanh thu dịch vụ</t>
        </is>
      </c>
      <c r="E5" s="4" t="inlineStr">
        <is>
          <t>Thu</t>
        </is>
      </c>
      <c r="F5" s="4" t="inlineStr">
        <is>
          <t>Chuyển khoản</t>
        </is>
      </c>
      <c r="G5" s="5" t="n">
        <v>38000000</v>
      </c>
      <c r="H5" s="6">
        <f>IF(C5="","",IF(E5="Thu",G5,0))</f>
        <v/>
      </c>
      <c r="I5" s="6">
        <f>IF(C5="","",IF(E5="Chi",G5,0))</f>
        <v/>
      </c>
      <c r="J5" s="6">
        <f>IF(C5="","",N(J4)+H5-I5)</f>
        <v/>
      </c>
      <c r="K5" s="7">
        <f>IF(C5="","",IF(AND(E5="Chi",F5="Tiền mặt",G5&gt;=20000000),"Chi tiền mặt từ 20 triệu",IF(G5=0,"Chưa nhập số tiền","Hợp lệ")))</f>
        <v/>
      </c>
    </row>
    <row r="6">
      <c r="A6" s="2" t="n">
        <v>5</v>
      </c>
      <c r="B6" s="3" t="n">
        <v>46218</v>
      </c>
      <c r="C6" s="4" t="inlineStr">
        <is>
          <t>Chi lương kỳ 1 tháng 7</t>
        </is>
      </c>
      <c r="D6" s="4" t="inlineStr">
        <is>
          <t>Lương và bảo hiểm</t>
        </is>
      </c>
      <c r="E6" s="4" t="inlineStr">
        <is>
          <t>Chi</t>
        </is>
      </c>
      <c r="F6" s="4" t="inlineStr">
        <is>
          <t>Chuyển khoản</t>
        </is>
      </c>
      <c r="G6" s="5" t="n">
        <v>96000000</v>
      </c>
      <c r="H6" s="6">
        <f>IF(C6="","",IF(E6="Thu",G6,0))</f>
        <v/>
      </c>
      <c r="I6" s="6">
        <f>IF(C6="","",IF(E6="Chi",G6,0))</f>
        <v/>
      </c>
      <c r="J6" s="6">
        <f>IF(C6="","",N(J5)+H6-I6)</f>
        <v/>
      </c>
      <c r="K6" s="7">
        <f>IF(C6="","",IF(AND(E6="Chi",F6="Tiền mặt",G6&gt;=20000000),"Chi tiền mặt từ 20 triệu",IF(G6=0,"Chưa nhập số tiền","Hợp lệ")))</f>
        <v/>
      </c>
    </row>
    <row r="7">
      <c r="A7" s="2" t="n">
        <v>6</v>
      </c>
      <c r="B7" s="3" t="n">
        <v>46221</v>
      </c>
      <c r="C7" s="4" t="inlineStr">
        <is>
          <t>Chi mua văn phòng phẩm</t>
        </is>
      </c>
      <c r="D7" s="4" t="inlineStr">
        <is>
          <t>Chi phí văn phòng</t>
        </is>
      </c>
      <c r="E7" s="4" t="inlineStr">
        <is>
          <t>Chi</t>
        </is>
      </c>
      <c r="F7" s="4" t="inlineStr">
        <is>
          <t>Tiền mặt</t>
        </is>
      </c>
      <c r="G7" s="5" t="n">
        <v>4200000</v>
      </c>
      <c r="H7" s="6">
        <f>IF(C7="","",IF(E7="Thu",G7,0))</f>
        <v/>
      </c>
      <c r="I7" s="6">
        <f>IF(C7="","",IF(E7="Chi",G7,0))</f>
        <v/>
      </c>
      <c r="J7" s="6">
        <f>IF(C7="","",N(J6)+H7-I7)</f>
        <v/>
      </c>
      <c r="K7" s="7">
        <f>IF(C7="","",IF(AND(E7="Chi",F7="Tiền mặt",G7&gt;=20000000),"Chi tiền mặt từ 20 triệu",IF(G7=0,"Chưa nhập số tiền","Hợp lệ")))</f>
        <v/>
      </c>
    </row>
    <row r="8">
      <c r="A8" s="2" t="n"/>
      <c r="B8" s="3" t="n"/>
      <c r="C8" s="4" t="n"/>
      <c r="D8" s="4" t="n"/>
      <c r="E8" s="4" t="n"/>
      <c r="F8" s="4" t="n"/>
      <c r="G8" s="5" t="n"/>
      <c r="H8" s="6">
        <f>IF(C8="","",IF(E8="Thu",G8,0))</f>
        <v/>
      </c>
      <c r="I8" s="6">
        <f>IF(C8="","",IF(E8="Chi",G8,0))</f>
        <v/>
      </c>
      <c r="J8" s="6">
        <f>IF(C8="","",N(J7)+H8-I8)</f>
        <v/>
      </c>
      <c r="K8" s="7">
        <f>IF(C8="","",IF(AND(E8="Chi",F8="Tiền mặt",G8&gt;=20000000),"Chi tiền mặt từ 20 triệu",IF(G8=0,"Chưa nhập số tiền","Hợp lệ")))</f>
        <v/>
      </c>
    </row>
    <row r="9">
      <c r="A9" s="2" t="n"/>
      <c r="B9" s="3" t="n"/>
      <c r="C9" s="4" t="n"/>
      <c r="D9" s="4" t="n"/>
      <c r="E9" s="4" t="n"/>
      <c r="F9" s="4" t="n"/>
      <c r="G9" s="5" t="n"/>
      <c r="H9" s="6">
        <f>IF(C9="","",IF(E9="Thu",G9,0))</f>
        <v/>
      </c>
      <c r="I9" s="6">
        <f>IF(C9="","",IF(E9="Chi",G9,0))</f>
        <v/>
      </c>
      <c r="J9" s="6">
        <f>IF(C9="","",N(J8)+H9-I9)</f>
        <v/>
      </c>
      <c r="K9" s="7">
        <f>IF(C9="","",IF(AND(E9="Chi",F9="Tiền mặt",G9&gt;=20000000),"Chi tiền mặt từ 20 triệu",IF(G9=0,"Chưa nhập số tiền","Hợp lệ")))</f>
        <v/>
      </c>
    </row>
    <row r="10">
      <c r="A10" s="2" t="n"/>
      <c r="B10" s="3" t="n"/>
      <c r="C10" s="4" t="n"/>
      <c r="D10" s="4" t="n"/>
      <c r="E10" s="4" t="n"/>
      <c r="F10" s="4" t="n"/>
      <c r="G10" s="5" t="n"/>
      <c r="H10" s="6">
        <f>IF(C10="","",IF(E10="Thu",G10,0))</f>
        <v/>
      </c>
      <c r="I10" s="6">
        <f>IF(C10="","",IF(E10="Chi",G10,0))</f>
        <v/>
      </c>
      <c r="J10" s="6">
        <f>IF(C10="","",N(J9)+H10-I10)</f>
        <v/>
      </c>
      <c r="K10" s="7">
        <f>IF(C10="","",IF(AND(E10="Chi",F10="Tiền mặt",G10&gt;=20000000),"Chi tiền mặt từ 20 triệu",IF(G10=0,"Chưa nhập số tiền","Hợp lệ")))</f>
        <v/>
      </c>
    </row>
    <row r="11">
      <c r="A11" s="2" t="n"/>
      <c r="B11" s="3" t="n"/>
      <c r="C11" s="4" t="n"/>
      <c r="D11" s="4" t="n"/>
      <c r="E11" s="4" t="n"/>
      <c r="F11" s="4" t="n"/>
      <c r="G11" s="5" t="n"/>
      <c r="H11" s="6">
        <f>IF(C11="","",IF(E11="Thu",G11,0))</f>
        <v/>
      </c>
      <c r="I11" s="6">
        <f>IF(C11="","",IF(E11="Chi",G11,0))</f>
        <v/>
      </c>
      <c r="J11" s="6">
        <f>IF(C11="","",N(J10)+H11-I11)</f>
        <v/>
      </c>
      <c r="K11" s="7">
        <f>IF(C11="","",IF(AND(E11="Chi",F11="Tiền mặt",G11&gt;=20000000),"Chi tiền mặt từ 20 triệu",IF(G11=0,"Chưa nhập số tiền","Hợp lệ")))</f>
        <v/>
      </c>
    </row>
    <row r="12">
      <c r="A12" s="2" t="n"/>
      <c r="B12" s="3" t="n"/>
      <c r="C12" s="4" t="n"/>
      <c r="D12" s="4" t="n"/>
      <c r="E12" s="4" t="n"/>
      <c r="F12" s="4" t="n"/>
      <c r="G12" s="5" t="n"/>
      <c r="H12" s="6">
        <f>IF(C12="","",IF(E12="Thu",G12,0))</f>
        <v/>
      </c>
      <c r="I12" s="6">
        <f>IF(C12="","",IF(E12="Chi",G12,0))</f>
        <v/>
      </c>
      <c r="J12" s="6">
        <f>IF(C12="","",N(J11)+H12-I12)</f>
        <v/>
      </c>
      <c r="K12" s="7">
        <f>IF(C12="","",IF(AND(E12="Chi",F12="Tiền mặt",G12&gt;=20000000),"Chi tiền mặt từ 20 triệu",IF(G12=0,"Chưa nhập số tiền","Hợp lệ")))</f>
        <v/>
      </c>
    </row>
    <row r="13">
      <c r="A13" s="2" t="n"/>
      <c r="B13" s="3" t="n"/>
      <c r="C13" s="4" t="n"/>
      <c r="D13" s="4" t="n"/>
      <c r="E13" s="4" t="n"/>
      <c r="F13" s="4" t="n"/>
      <c r="G13" s="5" t="n"/>
      <c r="H13" s="6">
        <f>IF(C13="","",IF(E13="Thu",G13,0))</f>
        <v/>
      </c>
      <c r="I13" s="6">
        <f>IF(C13="","",IF(E13="Chi",G13,0))</f>
        <v/>
      </c>
      <c r="J13" s="6">
        <f>IF(C13="","",N(J12)+H13-I13)</f>
        <v/>
      </c>
      <c r="K13" s="7">
        <f>IF(C13="","",IF(AND(E13="Chi",F13="Tiền mặt",G13&gt;=20000000),"Chi tiền mặt từ 20 triệu",IF(G13=0,"Chưa nhập số tiền","Hợp lệ")))</f>
        <v/>
      </c>
    </row>
    <row r="14">
      <c r="A14" s="2" t="n"/>
      <c r="B14" s="3" t="n"/>
      <c r="C14" s="4" t="n"/>
      <c r="D14" s="4" t="n"/>
      <c r="E14" s="4" t="n"/>
      <c r="F14" s="4" t="n"/>
      <c r="G14" s="5" t="n"/>
      <c r="H14" s="6">
        <f>IF(C14="","",IF(E14="Thu",G14,0))</f>
        <v/>
      </c>
      <c r="I14" s="6">
        <f>IF(C14="","",IF(E14="Chi",G14,0))</f>
        <v/>
      </c>
      <c r="J14" s="6">
        <f>IF(C14="","",N(J13)+H14-I14)</f>
        <v/>
      </c>
      <c r="K14" s="7">
        <f>IF(C14="","",IF(AND(E14="Chi",F14="Tiền mặt",G14&gt;=20000000),"Chi tiền mặt từ 20 triệu",IF(G14=0,"Chưa nhập số tiền","Hợp lệ")))</f>
        <v/>
      </c>
    </row>
    <row r="15">
      <c r="A15" s="2" t="n"/>
      <c r="B15" s="3" t="n"/>
      <c r="C15" s="4" t="n"/>
      <c r="D15" s="4" t="n"/>
      <c r="E15" s="4" t="n"/>
      <c r="F15" s="4" t="n"/>
      <c r="G15" s="5" t="n"/>
      <c r="H15" s="6">
        <f>IF(C15="","",IF(E15="Thu",G15,0))</f>
        <v/>
      </c>
      <c r="I15" s="6">
        <f>IF(C15="","",IF(E15="Chi",G15,0))</f>
        <v/>
      </c>
      <c r="J15" s="6">
        <f>IF(C15="","",N(J14)+H15-I15)</f>
        <v/>
      </c>
      <c r="K15" s="7">
        <f>IF(C15="","",IF(AND(E15="Chi",F15="Tiền mặt",G15&gt;=20000000),"Chi tiền mặt từ 20 triệu",IF(G15=0,"Chưa nhập số tiền","Hợp lệ")))</f>
        <v/>
      </c>
    </row>
    <row r="16">
      <c r="A16" s="2" t="n"/>
      <c r="B16" s="3" t="n"/>
      <c r="C16" s="4" t="n"/>
      <c r="D16" s="4" t="n"/>
      <c r="E16" s="4" t="n"/>
      <c r="F16" s="4" t="n"/>
      <c r="G16" s="5" t="n"/>
      <c r="H16" s="6">
        <f>IF(C16="","",IF(E16="Thu",G16,0))</f>
        <v/>
      </c>
      <c r="I16" s="6">
        <f>IF(C16="","",IF(E16="Chi",G16,0))</f>
        <v/>
      </c>
      <c r="J16" s="6">
        <f>IF(C16="","",N(J15)+H16-I16)</f>
        <v/>
      </c>
      <c r="K16" s="7">
        <f>IF(C16="","",IF(AND(E16="Chi",F16="Tiền mặt",G16&gt;=20000000),"Chi tiền mặt từ 20 triệu",IF(G16=0,"Chưa nhập số tiền","Hợp lệ")))</f>
        <v/>
      </c>
    </row>
    <row r="17">
      <c r="A17" s="2" t="n"/>
      <c r="B17" s="3" t="n"/>
      <c r="C17" s="4" t="n"/>
      <c r="D17" s="4" t="n"/>
      <c r="E17" s="4" t="n"/>
      <c r="F17" s="4" t="n"/>
      <c r="G17" s="5" t="n"/>
      <c r="H17" s="6">
        <f>IF(C17="","",IF(E17="Thu",G17,0))</f>
        <v/>
      </c>
      <c r="I17" s="6">
        <f>IF(C17="","",IF(E17="Chi",G17,0))</f>
        <v/>
      </c>
      <c r="J17" s="6">
        <f>IF(C17="","",N(J16)+H17-I17)</f>
        <v/>
      </c>
      <c r="K17" s="7">
        <f>IF(C17="","",IF(AND(E17="Chi",F17="Tiền mặt",G17&gt;=20000000),"Chi tiền mặt từ 20 triệu",IF(G17=0,"Chưa nhập số tiền","Hợp lệ")))</f>
        <v/>
      </c>
    </row>
    <row r="18">
      <c r="A18" s="2" t="n"/>
      <c r="B18" s="3" t="n"/>
      <c r="C18" s="4" t="n"/>
      <c r="D18" s="4" t="n"/>
      <c r="E18" s="4" t="n"/>
      <c r="F18" s="4" t="n"/>
      <c r="G18" s="5" t="n"/>
      <c r="H18" s="6">
        <f>IF(C18="","",IF(E18="Thu",G18,0))</f>
        <v/>
      </c>
      <c r="I18" s="6">
        <f>IF(C18="","",IF(E18="Chi",G18,0))</f>
        <v/>
      </c>
      <c r="J18" s="6">
        <f>IF(C18="","",N(J17)+H18-I18)</f>
        <v/>
      </c>
      <c r="K18" s="7">
        <f>IF(C18="","",IF(AND(E18="Chi",F18="Tiền mặt",G18&gt;=20000000),"Chi tiền mặt từ 20 triệu",IF(G18=0,"Chưa nhập số tiền","Hợp lệ")))</f>
        <v/>
      </c>
    </row>
    <row r="19">
      <c r="A19" s="2" t="n"/>
      <c r="B19" s="3" t="n"/>
      <c r="C19" s="4" t="n"/>
      <c r="D19" s="4" t="n"/>
      <c r="E19" s="4" t="n"/>
      <c r="F19" s="4" t="n"/>
      <c r="G19" s="5" t="n"/>
      <c r="H19" s="6">
        <f>IF(C19="","",IF(E19="Thu",G19,0))</f>
        <v/>
      </c>
      <c r="I19" s="6">
        <f>IF(C19="","",IF(E19="Chi",G19,0))</f>
        <v/>
      </c>
      <c r="J19" s="6">
        <f>IF(C19="","",N(J18)+H19-I19)</f>
        <v/>
      </c>
      <c r="K19" s="7">
        <f>IF(C19="","",IF(AND(E19="Chi",F19="Tiền mặt",G19&gt;=20000000),"Chi tiền mặt từ 20 triệu",IF(G19=0,"Chưa nhập số tiền","Hợp lệ")))</f>
        <v/>
      </c>
    </row>
    <row r="20">
      <c r="A20" s="2" t="n"/>
      <c r="B20" s="3" t="n"/>
      <c r="C20" s="4" t="n"/>
      <c r="D20" s="4" t="n"/>
      <c r="E20" s="4" t="n"/>
      <c r="F20" s="4" t="n"/>
      <c r="G20" s="5" t="n"/>
      <c r="H20" s="6">
        <f>IF(C20="","",IF(E20="Thu",G20,0))</f>
        <v/>
      </c>
      <c r="I20" s="6">
        <f>IF(C20="","",IF(E20="Chi",G20,0))</f>
        <v/>
      </c>
      <c r="J20" s="6">
        <f>IF(C20="","",N(J19)+H20-I20)</f>
        <v/>
      </c>
      <c r="K20" s="7">
        <f>IF(C20="","",IF(AND(E20="Chi",F20="Tiền mặt",G20&gt;=20000000),"Chi tiền mặt từ 20 triệu",IF(G20=0,"Chưa nhập số tiền","Hợp lệ")))</f>
        <v/>
      </c>
    </row>
    <row r="21">
      <c r="A21" s="2" t="n"/>
      <c r="B21" s="3" t="n"/>
      <c r="C21" s="4" t="n"/>
      <c r="D21" s="4" t="n"/>
      <c r="E21" s="4" t="n"/>
      <c r="F21" s="4" t="n"/>
      <c r="G21" s="5" t="n"/>
      <c r="H21" s="6">
        <f>IF(C21="","",IF(E21="Thu",G21,0))</f>
        <v/>
      </c>
      <c r="I21" s="6">
        <f>IF(C21="","",IF(E21="Chi",G21,0))</f>
        <v/>
      </c>
      <c r="J21" s="6">
        <f>IF(C21="","",N(J20)+H21-I21)</f>
        <v/>
      </c>
      <c r="K21" s="7">
        <f>IF(C21="","",IF(AND(E21="Chi",F21="Tiền mặt",G21&gt;=20000000),"Chi tiền mặt từ 20 triệu",IF(G21=0,"Chưa nhập số tiền","Hợp lệ")))</f>
        <v/>
      </c>
    </row>
    <row r="22">
      <c r="A22" s="2" t="n"/>
      <c r="B22" s="3" t="n"/>
      <c r="C22" s="4" t="n"/>
      <c r="D22" s="4" t="n"/>
      <c r="E22" s="4" t="n"/>
      <c r="F22" s="4" t="n"/>
      <c r="G22" s="5" t="n"/>
      <c r="H22" s="6">
        <f>IF(C22="","",IF(E22="Thu",G22,0))</f>
        <v/>
      </c>
      <c r="I22" s="6">
        <f>IF(C22="","",IF(E22="Chi",G22,0))</f>
        <v/>
      </c>
      <c r="J22" s="6">
        <f>IF(C22="","",N(J21)+H22-I22)</f>
        <v/>
      </c>
      <c r="K22" s="7">
        <f>IF(C22="","",IF(AND(E22="Chi",F22="Tiền mặt",G22&gt;=20000000),"Chi tiền mặt từ 20 triệu",IF(G22=0,"Chưa nhập số tiền","Hợp lệ")))</f>
        <v/>
      </c>
    </row>
    <row r="23">
      <c r="A23" s="2" t="n"/>
      <c r="B23" s="3" t="n"/>
      <c r="C23" s="4" t="n"/>
      <c r="D23" s="4" t="n"/>
      <c r="E23" s="4" t="n"/>
      <c r="F23" s="4" t="n"/>
      <c r="G23" s="5" t="n"/>
      <c r="H23" s="6">
        <f>IF(C23="","",IF(E23="Thu",G23,0))</f>
        <v/>
      </c>
      <c r="I23" s="6">
        <f>IF(C23="","",IF(E23="Chi",G23,0))</f>
        <v/>
      </c>
      <c r="J23" s="6">
        <f>IF(C23="","",N(J22)+H23-I23)</f>
        <v/>
      </c>
      <c r="K23" s="7">
        <f>IF(C23="","",IF(AND(E23="Chi",F23="Tiền mặt",G23&gt;=20000000),"Chi tiền mặt từ 20 triệu",IF(G23=0,"Chưa nhập số tiền","Hợp lệ")))</f>
        <v/>
      </c>
    </row>
    <row r="24">
      <c r="A24" s="2" t="n"/>
      <c r="B24" s="3" t="n"/>
      <c r="C24" s="4" t="n"/>
      <c r="D24" s="4" t="n"/>
      <c r="E24" s="4" t="n"/>
      <c r="F24" s="4" t="n"/>
      <c r="G24" s="5" t="n"/>
      <c r="H24" s="6">
        <f>IF(C24="","",IF(E24="Thu",G24,0))</f>
        <v/>
      </c>
      <c r="I24" s="6">
        <f>IF(C24="","",IF(E24="Chi",G24,0))</f>
        <v/>
      </c>
      <c r="J24" s="6">
        <f>IF(C24="","",N(J23)+H24-I24)</f>
        <v/>
      </c>
      <c r="K24" s="7">
        <f>IF(C24="","",IF(AND(E24="Chi",F24="Tiền mặt",G24&gt;=20000000),"Chi tiền mặt từ 20 triệu",IF(G24=0,"Chưa nhập số tiền","Hợp lệ")))</f>
        <v/>
      </c>
    </row>
    <row r="25">
      <c r="A25" s="2" t="n"/>
      <c r="B25" s="3" t="n"/>
      <c r="C25" s="4" t="n"/>
      <c r="D25" s="4" t="n"/>
      <c r="E25" s="4" t="n"/>
      <c r="F25" s="4" t="n"/>
      <c r="G25" s="5" t="n"/>
      <c r="H25" s="6">
        <f>IF(C25="","",IF(E25="Thu",G25,0))</f>
        <v/>
      </c>
      <c r="I25" s="6">
        <f>IF(C25="","",IF(E25="Chi",G25,0))</f>
        <v/>
      </c>
      <c r="J25" s="6">
        <f>IF(C25="","",N(J24)+H25-I25)</f>
        <v/>
      </c>
      <c r="K25" s="7">
        <f>IF(C25="","",IF(AND(E25="Chi",F25="Tiền mặt",G25&gt;=20000000),"Chi tiền mặt từ 20 triệu",IF(G25=0,"Chưa nhập số tiền","Hợp lệ")))</f>
        <v/>
      </c>
    </row>
    <row r="26">
      <c r="A26" s="2" t="n"/>
      <c r="B26" s="3" t="n"/>
      <c r="C26" s="4" t="n"/>
      <c r="D26" s="4" t="n"/>
      <c r="E26" s="4" t="n"/>
      <c r="F26" s="4" t="n"/>
      <c r="G26" s="5" t="n"/>
      <c r="H26" s="6">
        <f>IF(C26="","",IF(E26="Thu",G26,0))</f>
        <v/>
      </c>
      <c r="I26" s="6">
        <f>IF(C26="","",IF(E26="Chi",G26,0))</f>
        <v/>
      </c>
      <c r="J26" s="6">
        <f>IF(C26="","",N(J25)+H26-I26)</f>
        <v/>
      </c>
      <c r="K26" s="7">
        <f>IF(C26="","",IF(AND(E26="Chi",F26="Tiền mặt",G26&gt;=20000000),"Chi tiền mặt từ 20 triệu",IF(G26=0,"Chưa nhập số tiền","Hợp lệ")))</f>
        <v/>
      </c>
    </row>
    <row r="27">
      <c r="A27" s="2" t="n"/>
      <c r="B27" s="3" t="n"/>
      <c r="C27" s="4" t="n"/>
      <c r="D27" s="4" t="n"/>
      <c r="E27" s="4" t="n"/>
      <c r="F27" s="4" t="n"/>
      <c r="G27" s="5" t="n"/>
      <c r="H27" s="6">
        <f>IF(C27="","",IF(E27="Thu",G27,0))</f>
        <v/>
      </c>
      <c r="I27" s="6">
        <f>IF(C27="","",IF(E27="Chi",G27,0))</f>
        <v/>
      </c>
      <c r="J27" s="6">
        <f>IF(C27="","",N(J26)+H27-I27)</f>
        <v/>
      </c>
      <c r="K27" s="7">
        <f>IF(C27="","",IF(AND(E27="Chi",F27="Tiền mặt",G27&gt;=20000000),"Chi tiền mặt từ 20 triệu",IF(G27=0,"Chưa nhập số tiền","Hợp lệ")))</f>
        <v/>
      </c>
    </row>
    <row r="28">
      <c r="A28" s="2" t="n"/>
      <c r="B28" s="3" t="n"/>
      <c r="C28" s="4" t="n"/>
      <c r="D28" s="4" t="n"/>
      <c r="E28" s="4" t="n"/>
      <c r="F28" s="4" t="n"/>
      <c r="G28" s="5" t="n"/>
      <c r="H28" s="6">
        <f>IF(C28="","",IF(E28="Thu",G28,0))</f>
        <v/>
      </c>
      <c r="I28" s="6">
        <f>IF(C28="","",IF(E28="Chi",G28,0))</f>
        <v/>
      </c>
      <c r="J28" s="6">
        <f>IF(C28="","",N(J27)+H28-I28)</f>
        <v/>
      </c>
      <c r="K28" s="7">
        <f>IF(C28="","",IF(AND(E28="Chi",F28="Tiền mặt",G28&gt;=20000000),"Chi tiền mặt từ 20 triệu",IF(G28=0,"Chưa nhập số tiền","Hợp lệ")))</f>
        <v/>
      </c>
    </row>
    <row r="29">
      <c r="A29" s="2" t="n"/>
      <c r="B29" s="3" t="n"/>
      <c r="C29" s="4" t="n"/>
      <c r="D29" s="4" t="n"/>
      <c r="E29" s="4" t="n"/>
      <c r="F29" s="4" t="n"/>
      <c r="G29" s="5" t="n"/>
      <c r="H29" s="6">
        <f>IF(C29="","",IF(E29="Thu",G29,0))</f>
        <v/>
      </c>
      <c r="I29" s="6">
        <f>IF(C29="","",IF(E29="Chi",G29,0))</f>
        <v/>
      </c>
      <c r="J29" s="6">
        <f>IF(C29="","",N(J28)+H29-I29)</f>
        <v/>
      </c>
      <c r="K29" s="7">
        <f>IF(C29="","",IF(AND(E29="Chi",F29="Tiền mặt",G29&gt;=20000000),"Chi tiền mặt từ 20 triệu",IF(G29=0,"Chưa nhập số tiền","Hợp lệ")))</f>
        <v/>
      </c>
    </row>
    <row r="30">
      <c r="A30" s="2" t="n"/>
      <c r="B30" s="3" t="n"/>
      <c r="C30" s="4" t="n"/>
      <c r="D30" s="4" t="n"/>
      <c r="E30" s="4" t="n"/>
      <c r="F30" s="4" t="n"/>
      <c r="G30" s="5" t="n"/>
      <c r="H30" s="6">
        <f>IF(C30="","",IF(E30="Thu",G30,0))</f>
        <v/>
      </c>
      <c r="I30" s="6">
        <f>IF(C30="","",IF(E30="Chi",G30,0))</f>
        <v/>
      </c>
      <c r="J30" s="6">
        <f>IF(C30="","",N(J29)+H30-I30)</f>
        <v/>
      </c>
      <c r="K30" s="7">
        <f>IF(C30="","",IF(AND(E30="Chi",F30="Tiền mặt",G30&gt;=20000000),"Chi tiền mặt từ 20 triệu",IF(G30=0,"Chưa nhập số tiền","Hợp lệ")))</f>
        <v/>
      </c>
    </row>
    <row r="31">
      <c r="A31" s="2" t="n"/>
      <c r="B31" s="3" t="n"/>
      <c r="C31" s="4" t="n"/>
      <c r="D31" s="4" t="n"/>
      <c r="E31" s="4" t="n"/>
      <c r="F31" s="4" t="n"/>
      <c r="G31" s="5" t="n"/>
      <c r="H31" s="6">
        <f>IF(C31="","",IF(E31="Thu",G31,0))</f>
        <v/>
      </c>
      <c r="I31" s="6">
        <f>IF(C31="","",IF(E31="Chi",G31,0))</f>
        <v/>
      </c>
      <c r="J31" s="6">
        <f>IF(C31="","",N(J30)+H31-I31)</f>
        <v/>
      </c>
      <c r="K31" s="7">
        <f>IF(C31="","",IF(AND(E31="Chi",F31="Tiền mặt",G31&gt;=20000000),"Chi tiền mặt từ 20 triệu",IF(G31=0,"Chưa nhập số tiền","Hợp lệ")))</f>
        <v/>
      </c>
    </row>
    <row r="32">
      <c r="A32" s="2" t="n"/>
      <c r="B32" s="3" t="n"/>
      <c r="C32" s="4" t="n"/>
      <c r="D32" s="4" t="n"/>
      <c r="E32" s="4" t="n"/>
      <c r="F32" s="4" t="n"/>
      <c r="G32" s="5" t="n"/>
      <c r="H32" s="6">
        <f>IF(C32="","",IF(E32="Thu",G32,0))</f>
        <v/>
      </c>
      <c r="I32" s="6">
        <f>IF(C32="","",IF(E32="Chi",G32,0))</f>
        <v/>
      </c>
      <c r="J32" s="6">
        <f>IF(C32="","",N(J31)+H32-I32)</f>
        <v/>
      </c>
      <c r="K32" s="7">
        <f>IF(C32="","",IF(AND(E32="Chi",F32="Tiền mặt",G32&gt;=20000000),"Chi tiền mặt từ 20 triệu",IF(G32=0,"Chưa nhập số tiền","Hợp lệ")))</f>
        <v/>
      </c>
    </row>
    <row r="33">
      <c r="A33" s="2" t="n"/>
      <c r="B33" s="3" t="n"/>
      <c r="C33" s="4" t="n"/>
      <c r="D33" s="4" t="n"/>
      <c r="E33" s="4" t="n"/>
      <c r="F33" s="4" t="n"/>
      <c r="G33" s="5" t="n"/>
      <c r="H33" s="6">
        <f>IF(C33="","",IF(E33="Thu",G33,0))</f>
        <v/>
      </c>
      <c r="I33" s="6">
        <f>IF(C33="","",IF(E33="Chi",G33,0))</f>
        <v/>
      </c>
      <c r="J33" s="6">
        <f>IF(C33="","",N(J32)+H33-I33)</f>
        <v/>
      </c>
      <c r="K33" s="7">
        <f>IF(C33="","",IF(AND(E33="Chi",F33="Tiền mặt",G33&gt;=20000000),"Chi tiền mặt từ 20 triệu",IF(G33=0,"Chưa nhập số tiền","Hợp lệ")))</f>
        <v/>
      </c>
    </row>
    <row r="34">
      <c r="A34" s="2" t="n"/>
      <c r="B34" s="3" t="n"/>
      <c r="C34" s="4" t="n"/>
      <c r="D34" s="4" t="n"/>
      <c r="E34" s="4" t="n"/>
      <c r="F34" s="4" t="n"/>
      <c r="G34" s="5" t="n"/>
      <c r="H34" s="6">
        <f>IF(C34="","",IF(E34="Thu",G34,0))</f>
        <v/>
      </c>
      <c r="I34" s="6">
        <f>IF(C34="","",IF(E34="Chi",G34,0))</f>
        <v/>
      </c>
      <c r="J34" s="6">
        <f>IF(C34="","",N(J33)+H34-I34)</f>
        <v/>
      </c>
      <c r="K34" s="7">
        <f>IF(C34="","",IF(AND(E34="Chi",F34="Tiền mặt",G34&gt;=20000000),"Chi tiền mặt từ 20 triệu",IF(G34=0,"Chưa nhập số tiền","Hợp lệ")))</f>
        <v/>
      </c>
    </row>
    <row r="35">
      <c r="A35" s="2" t="n"/>
      <c r="B35" s="3" t="n"/>
      <c r="C35" s="4" t="n"/>
      <c r="D35" s="4" t="n"/>
      <c r="E35" s="4" t="n"/>
      <c r="F35" s="4" t="n"/>
      <c r="G35" s="5" t="n"/>
      <c r="H35" s="6">
        <f>IF(C35="","",IF(E35="Thu",G35,0))</f>
        <v/>
      </c>
      <c r="I35" s="6">
        <f>IF(C35="","",IF(E35="Chi",G35,0))</f>
        <v/>
      </c>
      <c r="J35" s="6">
        <f>IF(C35="","",N(J34)+H35-I35)</f>
        <v/>
      </c>
      <c r="K35" s="7">
        <f>IF(C35="","",IF(AND(E35="Chi",F35="Tiền mặt",G35&gt;=20000000),"Chi tiền mặt từ 20 triệu",IF(G35=0,"Chưa nhập số tiền","Hợp lệ")))</f>
        <v/>
      </c>
    </row>
    <row r="36">
      <c r="A36" s="2" t="n"/>
      <c r="B36" s="3" t="n"/>
      <c r="C36" s="4" t="n"/>
      <c r="D36" s="4" t="n"/>
      <c r="E36" s="4" t="n"/>
      <c r="F36" s="4" t="n"/>
      <c r="G36" s="5" t="n"/>
      <c r="H36" s="6">
        <f>IF(C36="","",IF(E36="Thu",G36,0))</f>
        <v/>
      </c>
      <c r="I36" s="6">
        <f>IF(C36="","",IF(E36="Chi",G36,0))</f>
        <v/>
      </c>
      <c r="J36" s="6">
        <f>IF(C36="","",N(J35)+H36-I36)</f>
        <v/>
      </c>
      <c r="K36" s="7">
        <f>IF(C36="","",IF(AND(E36="Chi",F36="Tiền mặt",G36&gt;=20000000),"Chi tiền mặt từ 20 triệu",IF(G36=0,"Chưa nhập số tiền","Hợp lệ")))</f>
        <v/>
      </c>
    </row>
    <row r="37">
      <c r="A37" s="2" t="n"/>
      <c r="B37" s="3" t="n"/>
      <c r="C37" s="4" t="n"/>
      <c r="D37" s="4" t="n"/>
      <c r="E37" s="4" t="n"/>
      <c r="F37" s="4" t="n"/>
      <c r="G37" s="5" t="n"/>
      <c r="H37" s="6">
        <f>IF(C37="","",IF(E37="Thu",G37,0))</f>
        <v/>
      </c>
      <c r="I37" s="6">
        <f>IF(C37="","",IF(E37="Chi",G37,0))</f>
        <v/>
      </c>
      <c r="J37" s="6">
        <f>IF(C37="","",N(J36)+H37-I37)</f>
        <v/>
      </c>
      <c r="K37" s="7">
        <f>IF(C37="","",IF(AND(E37="Chi",F37="Tiền mặt",G37&gt;=20000000),"Chi tiền mặt từ 20 triệu",IF(G37=0,"Chưa nhập số tiền","Hợp lệ")))</f>
        <v/>
      </c>
    </row>
  </sheetData>
  <autoFilter ref="A1:K37"/>
  <dataValidations count="4">
    <dataValidation sqref="D2:D37" showDropDown="0" showInputMessage="0" showErrorMessage="0" allowBlank="1" errorTitle="Sai định dạng" error="Giá trị không hợp lệ cho cột này." type="list">
      <formula1>"Doanh thu bán hàng,Doanh thu dịch vụ,Thu khác,Mua hàng hóa,Lương và bảo hiểm,Thuê mặt bằng,Chi phí văn phòng,Thuế và lệ phí,Chi khác"</formula1>
    </dataValidation>
    <dataValidation sqref="E2:E37" showDropDown="0" showInputMessage="0" showErrorMessage="0" allowBlank="1" errorTitle="Sai định dạng" error="Giá trị không hợp lệ cho cột này." type="list">
      <formula1>"Thu,Chi"</formula1>
    </dataValidation>
    <dataValidation sqref="F2:F37" showDropDown="0" showInputMessage="0" showErrorMessage="0" allowBlank="1" errorTitle="Sai định dạng" error="Giá trị không hợp lệ cho cột này." type="list">
      <formula1>"Tiền mặt,Chuyển khoản"</formula1>
    </dataValidation>
    <dataValidation sqref="G2:G37" showDropDown="0" showInputMessage="0" showErrorMessage="0" allowBlank="1" errorTitle="Sai định dạng" error="Giá trị không hợp lệ cho cột này." type="decimal" operator="between">
      <formula1>0</formula1>
      <formula2>10000000000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6"/>
  <sheetViews>
    <sheetView workbookViewId="0">
      <selection activeCell="A1" sqref="A1"/>
    </sheetView>
  </sheetViews>
  <sheetFormatPr baseColWidth="8" defaultRowHeight="15"/>
  <cols>
    <col width="4" customWidth="1" min="1" max="1"/>
    <col width="100" customWidth="1" min="2" max="2"/>
  </cols>
  <sheetData>
    <row r="1">
      <c r="B1" s="8" t="inlineStr">
        <is>
          <t>Mẫu Excel bảng kê thu chi theo khoản mục (có công thức sẵn)</t>
        </is>
      </c>
    </row>
    <row r="2">
      <c r="B2" s="9" t="inlineStr"/>
    </row>
    <row r="3">
      <c r="B3" s="10" t="inlineStr">
        <is>
          <t>CÁCH DÙNG</t>
        </is>
      </c>
    </row>
    <row r="4">
      <c r="B4" s="11" t="inlineStr">
        <is>
          <t>1. Nhập thông tin khoản tiền</t>
        </is>
      </c>
    </row>
    <row r="5">
      <c r="B5" s="9" t="inlineStr">
        <is>
          <t xml:space="preserve">   Mỗi khoản là một dòng: ngày phát sinh, nội dung, chọn khoản mục, chọn Thu hay Chi, chọn hình thức thanh toán, rồi nhập số tiền vào cột Số tiền. Luôn nhập số dương, việc là tiền ra hay tiền vào đã do cột Loại quyết định.</t>
        </is>
      </c>
    </row>
    <row r="6">
      <c r="B6" s="11" t="inlineStr">
        <is>
          <t>2. Để yên bốn cột cuối</t>
        </is>
      </c>
    </row>
    <row r="7">
      <c r="B7" s="9" t="inlineStr">
        <is>
          <t xml:space="preserve">   Cột Thu, cột Chi, cột lũy kế và cột cảnh báo đều là công thức. Gõ đè lên là mất công thức của đúng dòng đó, và cột lũy kế bên dưới sẽ tính sai theo.</t>
        </is>
      </c>
    </row>
    <row r="8">
      <c r="B8" s="11" t="inlineStr">
        <is>
          <t>3. Đọc cột dòng tiền ròng lũy kế</t>
        </is>
      </c>
    </row>
    <row r="9">
      <c r="B9" s="9" t="inlineStr">
        <is>
          <t xml:space="preserve">   Số ở dòng cuối cùng có dữ liệu là chênh lệch giữa tổng tiền vào và tổng tiền ra tính từ đầu bảng. Số âm nghĩa là trong kỳ này doanh nghiệp chi nhiều hơn thu, không phải lỗi file.</t>
        </is>
      </c>
    </row>
    <row r="10">
      <c r="B10" s="11" t="inlineStr">
        <is>
          <t>4. Xử lý các dòng bị cảnh báo</t>
        </is>
      </c>
    </row>
    <row r="11">
      <c r="B11" s="9" t="inlineStr">
        <is>
          <t xml:space="preserve">   Dòng hiện cảnh báo về ngưỡng 20 triệu là khoản chi tiền mặt có nguy cơ không được tính vào chi phí được trừ và không được khấu trừ thuế giá trị gia tăng. Chuyển sang thanh toán qua ngân hàng trước khi chi là cách xử lý duy nhất, sau khi đã chi rồi thì không sửa được.</t>
        </is>
      </c>
    </row>
    <row r="12">
      <c r="B12" s="11" t="inlineStr">
        <is>
          <t>5. Cộng theo khoản mục khi cần báo cáo</t>
        </is>
      </c>
    </row>
    <row r="13">
      <c r="B13" s="9" t="inlineStr">
        <is>
          <t xml:space="preserve">   Bật bộ lọc ở dòng tiêu đề, chọn một khoản mục rồi nhìn thanh trạng thái dưới cùng của Excel để đọc tổng. Cách này không cần viết thêm công thức nào.</t>
        </is>
      </c>
    </row>
    <row r="14">
      <c r="B14" s="9" t="inlineStr"/>
    </row>
    <row r="15">
      <c r="B15" s="10" t="inlineStr">
        <is>
          <t>CÔNG THỨC TRONG FILE</t>
        </is>
      </c>
    </row>
    <row r="16">
      <c r="B16" s="11" t="inlineStr">
        <is>
          <t>Thu  —  =IF(C2="","",IF(E2="Thu",G2,0))</t>
        </is>
      </c>
    </row>
    <row r="17">
      <c r="B17" s="9" t="inlineStr">
        <is>
          <t xml:space="preserve">   Tách riêng phần tiền vào: dòng nào chọn Loại là Thu thì lấy số tiền, còn lại để 0. Nhờ tách sẵn thế này mà cột lũy kế bên phải chỉ cần một phép cộng trừ đơn giản.</t>
        </is>
      </c>
    </row>
    <row r="18">
      <c r="B18" s="11" t="inlineStr">
        <is>
          <t>Chi  —  =IF(C2="","",IF(E2="Chi",G2,0))</t>
        </is>
      </c>
    </row>
    <row r="19">
      <c r="B19" s="9" t="inlineStr">
        <is>
          <t xml:space="preserve">   Đối xứng với cột Thu, lấy số tiền của những dòng chọn Loại là Chi. Nhờ vậy bạn chỉ phải nhập số tiền một lần ở một cột duy nhất, không phải tự nhớ nên gõ vào cột nào.</t>
        </is>
      </c>
    </row>
    <row r="20">
      <c r="B20" s="11" t="inlineStr">
        <is>
          <t>Dòng tiền ròng lũy kế  —  =IF(C2="","",N(J1)+H2-I2)</t>
        </is>
      </c>
    </row>
    <row r="21">
      <c r="B21" s="9" t="inlineStr">
        <is>
          <t xml:space="preserve">   Lấy số lũy kế của dòng ngay trên cộng tiền thu rồi trừ tiền chi của dòng này. Hàm N đọc ô tiêu đề ở dòng đầu tiên thành 0 nên cả cột dùng chung một công thức. Vì công thức trỏ lên đúng một dòng, các dòng phải nằm theo trình tự phát sinh và không được chừa dòng trống ở giữa.</t>
        </is>
      </c>
    </row>
    <row r="22">
      <c r="B22" s="11" t="inlineStr">
        <is>
          <t>Cảnh báo  —  =IF(C2="","",IF(AND(E2="Chi",F2="Tiền mặt",G2&gt;=20000000),"Chi tiền mặt từ 20 triệu",IF(G2=0,"Chưa nhập số tiền","Hợp lệ")))</t>
        </is>
      </c>
    </row>
    <row r="23">
      <c r="B23" s="9" t="inlineStr">
        <is>
          <t xml:space="preserve">   Hàm AND buộc cả ba điều kiện cùng đúng thì mới cảnh báo: là khoản chi, trả bằng tiền mặt, và từ 20 triệu đồng trở lên. Đây là ngưỡng mà khoản chi phải thanh toán qua ngân hàng mới đủ điều kiện khấu trừ thuế giá trị gia tăng và tính vào chi phí được trừ.</t>
        </is>
      </c>
    </row>
    <row r="24">
      <c r="B24" s="9" t="inlineStr"/>
    </row>
    <row r="25">
      <c r="B25" s="11" t="inlineStr">
        <is>
          <t>Bản cập nhật mới nhất và hướng dẫn chi tiết:</t>
        </is>
      </c>
    </row>
    <row r="26">
      <c r="B26" s="12" t="inlineStr">
        <is>
          <t>https://excel.nguyenvietloc.com/mau-excel/ke-toan/bang-ke-thu-chi</t>
        </is>
      </c>
    </row>
  </sheetData>
  <hyperlinks>
    <hyperlink xmlns:r="http://schemas.openxmlformats.org/officeDocument/2006/relationships" ref="B2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2026-08-10T14:56:08Z</dcterms:created>
  <dcterms:modified xsi:type="dcterms:W3CDTF">2026-08-10T14:56:08Z</dcterms:modified>
</cp:coreProperties>
</file>