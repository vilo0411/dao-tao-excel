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ập xuất tồn" sheetId="1" state="visible" r:id="rId1"/>
    <sheet name="Hướng dẫn" sheetId="2" state="visible" r:id="rId2"/>
  </sheets>
  <definedNames>
    <definedName name="_xlnm._FilterDatabase" localSheetId="0" hidden="1">'Nhập xuất tồn'!$A$1:$M$37</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4" fontId="0" fillId="3" borderId="1" pivotButton="0" quotePrefix="0" xfId="0"/>
    <xf numFmtId="165"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so-kho-nhap-xuat-ton" TargetMode="External" Id="rId1" /></Relationships>
</file>

<file path=xl/worksheets/sheet1.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0" customWidth="1" min="3" max="3"/>
    <col width="10" customWidth="1" min="4" max="4"/>
    <col width="12" customWidth="1" min="5" max="5"/>
    <col width="13" customWidth="1" min="6" max="6"/>
    <col width="13" customWidth="1" min="7" max="7"/>
    <col width="16" customWidth="1" min="8" max="8"/>
    <col width="14" customWidth="1" min="9" max="9"/>
    <col width="12" customWidth="1" min="10" max="10"/>
    <col width="18" customWidth="1" min="11" max="11"/>
    <col width="15" customWidth="1" min="12" max="12"/>
    <col width="26" customWidth="1" min="13" max="13"/>
  </cols>
  <sheetData>
    <row r="1" ht="32" customHeight="1">
      <c r="A1" s="1" t="inlineStr">
        <is>
          <t>STT</t>
        </is>
      </c>
      <c r="B1" s="1" t="inlineStr">
        <is>
          <t>Mã hàng</t>
        </is>
      </c>
      <c r="C1" s="1" t="inlineStr">
        <is>
          <t>Tên hàng hóa</t>
        </is>
      </c>
      <c r="D1" s="1" t="inlineStr">
        <is>
          <t>ĐVT</t>
        </is>
      </c>
      <c r="E1" s="1" t="inlineStr">
        <is>
          <t>Tồn đầu kỳ</t>
        </is>
      </c>
      <c r="F1" s="1" t="inlineStr">
        <is>
          <t>Nhập trong kỳ</t>
        </is>
      </c>
      <c r="G1" s="1" t="inlineStr">
        <is>
          <t>Xuất trong kỳ</t>
        </is>
      </c>
      <c r="H1" s="1" t="inlineStr">
        <is>
          <t>Đơn giá</t>
        </is>
      </c>
      <c r="I1" s="1" t="inlineStr">
        <is>
          <t>Định mức tối thiểu</t>
        </is>
      </c>
      <c r="J1" s="1" t="inlineStr">
        <is>
          <t>Tồn cuối kỳ</t>
        </is>
      </c>
      <c r="K1" s="1" t="inlineStr">
        <is>
          <t>Giá trị tồn kho</t>
        </is>
      </c>
      <c r="L1" s="1" t="inlineStr">
        <is>
          <t>Tỷ lệ xuất trong kỳ</t>
        </is>
      </c>
      <c r="M1" s="1" t="inlineStr">
        <is>
          <t>Cảnh báo tồn kho</t>
        </is>
      </c>
    </row>
    <row r="2">
      <c r="A2" s="2" t="n">
        <v>1</v>
      </c>
      <c r="B2" s="3" t="inlineStr">
        <is>
          <t>VT001</t>
        </is>
      </c>
      <c r="C2" s="3" t="inlineStr">
        <is>
          <t>Thùng carton 5 lớp size 40x30x20</t>
        </is>
      </c>
      <c r="D2" s="3" t="inlineStr">
        <is>
          <t>Cái</t>
        </is>
      </c>
      <c r="E2" s="2" t="n">
        <v>1200</v>
      </c>
      <c r="F2" s="2" t="n">
        <v>2000</v>
      </c>
      <c r="G2" s="2" t="n">
        <v>2650</v>
      </c>
      <c r="H2" s="4" t="n">
        <v>12500</v>
      </c>
      <c r="I2" s="2" t="n">
        <v>800</v>
      </c>
      <c r="J2" s="5">
        <f>IF(C2="","",E2+F2-G2)</f>
        <v/>
      </c>
      <c r="K2" s="6">
        <f>IF(C2="","",J2*H2)</f>
        <v/>
      </c>
      <c r="L2" s="7">
        <f>IF(C2="","",IFERROR(G2/(E2+F2),0))</f>
        <v/>
      </c>
      <c r="M2" s="8">
        <f>IF(C2="","",IF(J2&lt;0,"Xuất quá tồn - kiểm tra lại",IF(J2=0,"Hết hàng",IF(J2&lt;=I2,"Dưới định mức - cần đặt hàng","Đủ hàng"))))</f>
        <v/>
      </c>
    </row>
    <row r="3">
      <c r="A3" s="2" t="n">
        <v>2</v>
      </c>
      <c r="B3" s="3" t="inlineStr">
        <is>
          <t>VT002</t>
        </is>
      </c>
      <c r="C3" s="3" t="inlineStr">
        <is>
          <t>Băng keo trong 5cm</t>
        </is>
      </c>
      <c r="D3" s="3" t="inlineStr">
        <is>
          <t>Cuộn</t>
        </is>
      </c>
      <c r="E3" s="2" t="n">
        <v>340</v>
      </c>
      <c r="F3" s="2" t="n">
        <v>0</v>
      </c>
      <c r="G3" s="2" t="n">
        <v>285</v>
      </c>
      <c r="H3" s="4" t="n">
        <v>9800</v>
      </c>
      <c r="I3" s="2" t="n">
        <v>100</v>
      </c>
      <c r="J3" s="5">
        <f>IF(C3="","",E3+F3-G3)</f>
        <v/>
      </c>
      <c r="K3" s="6">
        <f>IF(C3="","",J3*H3)</f>
        <v/>
      </c>
      <c r="L3" s="7">
        <f>IF(C3="","",IFERROR(G3/(E3+F3),0))</f>
        <v/>
      </c>
      <c r="M3" s="8">
        <f>IF(C3="","",IF(J3&lt;0,"Xuất quá tồn - kiểm tra lại",IF(J3=0,"Hết hàng",IF(J3&lt;=I3,"Dưới định mức - cần đặt hàng","Đủ hàng"))))</f>
        <v/>
      </c>
    </row>
    <row r="4">
      <c r="A4" s="2" t="n">
        <v>3</v>
      </c>
      <c r="B4" s="3" t="inlineStr">
        <is>
          <t>HH010</t>
        </is>
      </c>
      <c r="C4" s="3" t="inlineStr">
        <is>
          <t>Gạo thơm túi 5kg</t>
        </is>
      </c>
      <c r="D4" s="3" t="inlineStr">
        <is>
          <t>Túi</t>
        </is>
      </c>
      <c r="E4" s="2" t="n">
        <v>150</v>
      </c>
      <c r="F4" s="2" t="n">
        <v>500</v>
      </c>
      <c r="G4" s="2" t="n">
        <v>650</v>
      </c>
      <c r="H4" s="4" t="n">
        <v>155000</v>
      </c>
      <c r="I4" s="2" t="n">
        <v>60</v>
      </c>
      <c r="J4" s="5">
        <f>IF(C4="","",E4+F4-G4)</f>
        <v/>
      </c>
      <c r="K4" s="6">
        <f>IF(C4="","",J4*H4)</f>
        <v/>
      </c>
      <c r="L4" s="7">
        <f>IF(C4="","",IFERROR(G4/(E4+F4),0))</f>
        <v/>
      </c>
      <c r="M4" s="8">
        <f>IF(C4="","",IF(J4&lt;0,"Xuất quá tồn - kiểm tra lại",IF(J4=0,"Hết hàng",IF(J4&lt;=I4,"Dưới định mức - cần đặt hàng","Đủ hàng"))))</f>
        <v/>
      </c>
    </row>
    <row r="5">
      <c r="A5" s="2" t="n">
        <v>4</v>
      </c>
      <c r="B5" s="3" t="inlineStr">
        <is>
          <t>HH011</t>
        </is>
      </c>
      <c r="C5" s="3" t="inlineStr">
        <is>
          <t>Dầu ăn thực vật can 5 lít</t>
        </is>
      </c>
      <c r="D5" s="3" t="inlineStr">
        <is>
          <t>Can</t>
        </is>
      </c>
      <c r="E5" s="2" t="n">
        <v>80</v>
      </c>
      <c r="F5" s="2" t="n">
        <v>120</v>
      </c>
      <c r="G5" s="2" t="n">
        <v>96</v>
      </c>
      <c r="H5" s="4" t="n">
        <v>245000</v>
      </c>
      <c r="I5" s="2" t="n">
        <v>50</v>
      </c>
      <c r="J5" s="5">
        <f>IF(C5="","",E5+F5-G5)</f>
        <v/>
      </c>
      <c r="K5" s="6">
        <f>IF(C5="","",J5*H5)</f>
        <v/>
      </c>
      <c r="L5" s="7">
        <f>IF(C5="","",IFERROR(G5/(E5+F5),0))</f>
        <v/>
      </c>
      <c r="M5" s="8">
        <f>IF(C5="","",IF(J5&lt;0,"Xuất quá tồn - kiểm tra lại",IF(J5=0,"Hết hàng",IF(J5&lt;=I5,"Dưới định mức - cần đặt hàng","Đủ hàng"))))</f>
        <v/>
      </c>
    </row>
    <row r="6">
      <c r="A6" s="2" t="n">
        <v>5</v>
      </c>
      <c r="B6" s="3" t="inlineStr">
        <is>
          <t>VT003</t>
        </is>
      </c>
      <c r="C6" s="3" t="inlineStr">
        <is>
          <t>Màng PE quấn pallet</t>
        </is>
      </c>
      <c r="D6" s="3" t="inlineStr">
        <is>
          <t>Kg</t>
        </is>
      </c>
      <c r="E6" s="2" t="n">
        <v>45</v>
      </c>
      <c r="F6" s="2" t="n">
        <v>0</v>
      </c>
      <c r="G6" s="2" t="n">
        <v>12</v>
      </c>
      <c r="H6" s="4" t="n">
        <v>62000</v>
      </c>
      <c r="I6" s="2" t="n">
        <v>20</v>
      </c>
      <c r="J6" s="5">
        <f>IF(C6="","",E6+F6-G6)</f>
        <v/>
      </c>
      <c r="K6" s="6">
        <f>IF(C6="","",J6*H6)</f>
        <v/>
      </c>
      <c r="L6" s="7">
        <f>IF(C6="","",IFERROR(G6/(E6+F6),0))</f>
        <v/>
      </c>
      <c r="M6" s="8">
        <f>IF(C6="","",IF(J6&lt;0,"Xuất quá tồn - kiểm tra lại",IF(J6=0,"Hết hàng",IF(J6&lt;=I6,"Dưới định mức - cần đặt hàng","Đủ hàng"))))</f>
        <v/>
      </c>
    </row>
    <row r="7">
      <c r="A7" s="2" t="n">
        <v>6</v>
      </c>
      <c r="B7" s="3" t="inlineStr">
        <is>
          <t>HH012</t>
        </is>
      </c>
      <c r="C7" s="3" t="inlineStr">
        <is>
          <t>Nước rửa chén chai 800ml</t>
        </is>
      </c>
      <c r="D7" s="3" t="inlineStr">
        <is>
          <t>Thùng</t>
        </is>
      </c>
      <c r="E7" s="2" t="n">
        <v>26</v>
      </c>
      <c r="F7" s="2" t="n">
        <v>40</v>
      </c>
      <c r="G7" s="2" t="n">
        <v>52</v>
      </c>
      <c r="H7" s="4" t="n">
        <v>310000</v>
      </c>
      <c r="I7" s="2" t="n">
        <v>15</v>
      </c>
      <c r="J7" s="5">
        <f>IF(C7="","",E7+F7-G7)</f>
        <v/>
      </c>
      <c r="K7" s="6">
        <f>IF(C7="","",J7*H7)</f>
        <v/>
      </c>
      <c r="L7" s="7">
        <f>IF(C7="","",IFERROR(G7/(E7+F7),0))</f>
        <v/>
      </c>
      <c r="M7" s="8">
        <f>IF(C7="","",IF(J7&lt;0,"Xuất quá tồn - kiểm tra lại",IF(J7=0,"Hết hàng",IF(J7&lt;=I7,"Dưới định mức - cần đặt hàng","Đủ hàng"))))</f>
        <v/>
      </c>
    </row>
    <row r="8">
      <c r="A8" s="2" t="n"/>
      <c r="B8" s="3" t="n"/>
      <c r="C8" s="3" t="n"/>
      <c r="D8" s="3" t="n"/>
      <c r="E8" s="2" t="n"/>
      <c r="F8" s="2" t="n"/>
      <c r="G8" s="2" t="n"/>
      <c r="H8" s="4" t="n"/>
      <c r="I8" s="2" t="n"/>
      <c r="J8" s="5">
        <f>IF(C8="","",E8+F8-G8)</f>
        <v/>
      </c>
      <c r="K8" s="6">
        <f>IF(C8="","",J8*H8)</f>
        <v/>
      </c>
      <c r="L8" s="7">
        <f>IF(C8="","",IFERROR(G8/(E8+F8),0))</f>
        <v/>
      </c>
      <c r="M8" s="8">
        <f>IF(C8="","",IF(J8&lt;0,"Xuất quá tồn - kiểm tra lại",IF(J8=0,"Hết hàng",IF(J8&lt;=I8,"Dưới định mức - cần đặt hàng","Đủ hàng"))))</f>
        <v/>
      </c>
    </row>
    <row r="9">
      <c r="A9" s="2" t="n"/>
      <c r="B9" s="3" t="n"/>
      <c r="C9" s="3" t="n"/>
      <c r="D9" s="3" t="n"/>
      <c r="E9" s="2" t="n"/>
      <c r="F9" s="2" t="n"/>
      <c r="G9" s="2" t="n"/>
      <c r="H9" s="4" t="n"/>
      <c r="I9" s="2" t="n"/>
      <c r="J9" s="5">
        <f>IF(C9="","",E9+F9-G9)</f>
        <v/>
      </c>
      <c r="K9" s="6">
        <f>IF(C9="","",J9*H9)</f>
        <v/>
      </c>
      <c r="L9" s="7">
        <f>IF(C9="","",IFERROR(G9/(E9+F9),0))</f>
        <v/>
      </c>
      <c r="M9" s="8">
        <f>IF(C9="","",IF(J9&lt;0,"Xuất quá tồn - kiểm tra lại",IF(J9=0,"Hết hàng",IF(J9&lt;=I9,"Dưới định mức - cần đặt hàng","Đủ hàng"))))</f>
        <v/>
      </c>
    </row>
    <row r="10">
      <c r="A10" s="2" t="n"/>
      <c r="B10" s="3" t="n"/>
      <c r="C10" s="3" t="n"/>
      <c r="D10" s="3" t="n"/>
      <c r="E10" s="2" t="n"/>
      <c r="F10" s="2" t="n"/>
      <c r="G10" s="2" t="n"/>
      <c r="H10" s="4" t="n"/>
      <c r="I10" s="2" t="n"/>
      <c r="J10" s="5">
        <f>IF(C10="","",E10+F10-G10)</f>
        <v/>
      </c>
      <c r="K10" s="6">
        <f>IF(C10="","",J10*H10)</f>
        <v/>
      </c>
      <c r="L10" s="7">
        <f>IF(C10="","",IFERROR(G10/(E10+F10),0))</f>
        <v/>
      </c>
      <c r="M10" s="8">
        <f>IF(C10="","",IF(J10&lt;0,"Xuất quá tồn - kiểm tra lại",IF(J10=0,"Hết hàng",IF(J10&lt;=I10,"Dưới định mức - cần đặt hàng","Đủ hàng"))))</f>
        <v/>
      </c>
    </row>
    <row r="11">
      <c r="A11" s="2" t="n"/>
      <c r="B11" s="3" t="n"/>
      <c r="C11" s="3" t="n"/>
      <c r="D11" s="3" t="n"/>
      <c r="E11" s="2" t="n"/>
      <c r="F11" s="2" t="n"/>
      <c r="G11" s="2" t="n"/>
      <c r="H11" s="4" t="n"/>
      <c r="I11" s="2" t="n"/>
      <c r="J11" s="5">
        <f>IF(C11="","",E11+F11-G11)</f>
        <v/>
      </c>
      <c r="K11" s="6">
        <f>IF(C11="","",J11*H11)</f>
        <v/>
      </c>
      <c r="L11" s="7">
        <f>IF(C11="","",IFERROR(G11/(E11+F11),0))</f>
        <v/>
      </c>
      <c r="M11" s="8">
        <f>IF(C11="","",IF(J11&lt;0,"Xuất quá tồn - kiểm tra lại",IF(J11=0,"Hết hàng",IF(J11&lt;=I11,"Dưới định mức - cần đặt hàng","Đủ hàng"))))</f>
        <v/>
      </c>
    </row>
    <row r="12">
      <c r="A12" s="2" t="n"/>
      <c r="B12" s="3" t="n"/>
      <c r="C12" s="3" t="n"/>
      <c r="D12" s="3" t="n"/>
      <c r="E12" s="2" t="n"/>
      <c r="F12" s="2" t="n"/>
      <c r="G12" s="2" t="n"/>
      <c r="H12" s="4" t="n"/>
      <c r="I12" s="2" t="n"/>
      <c r="J12" s="5">
        <f>IF(C12="","",E12+F12-G12)</f>
        <v/>
      </c>
      <c r="K12" s="6">
        <f>IF(C12="","",J12*H12)</f>
        <v/>
      </c>
      <c r="L12" s="7">
        <f>IF(C12="","",IFERROR(G12/(E12+F12),0))</f>
        <v/>
      </c>
      <c r="M12" s="8">
        <f>IF(C12="","",IF(J12&lt;0,"Xuất quá tồn - kiểm tra lại",IF(J12=0,"Hết hàng",IF(J12&lt;=I12,"Dưới định mức - cần đặt hàng","Đủ hàng"))))</f>
        <v/>
      </c>
    </row>
    <row r="13">
      <c r="A13" s="2" t="n"/>
      <c r="B13" s="3" t="n"/>
      <c r="C13" s="3" t="n"/>
      <c r="D13" s="3" t="n"/>
      <c r="E13" s="2" t="n"/>
      <c r="F13" s="2" t="n"/>
      <c r="G13" s="2" t="n"/>
      <c r="H13" s="4" t="n"/>
      <c r="I13" s="2" t="n"/>
      <c r="J13" s="5">
        <f>IF(C13="","",E13+F13-G13)</f>
        <v/>
      </c>
      <c r="K13" s="6">
        <f>IF(C13="","",J13*H13)</f>
        <v/>
      </c>
      <c r="L13" s="7">
        <f>IF(C13="","",IFERROR(G13/(E13+F13),0))</f>
        <v/>
      </c>
      <c r="M13" s="8">
        <f>IF(C13="","",IF(J13&lt;0,"Xuất quá tồn - kiểm tra lại",IF(J13=0,"Hết hàng",IF(J13&lt;=I13,"Dưới định mức - cần đặt hàng","Đủ hàng"))))</f>
        <v/>
      </c>
    </row>
    <row r="14">
      <c r="A14" s="2" t="n"/>
      <c r="B14" s="3" t="n"/>
      <c r="C14" s="3" t="n"/>
      <c r="D14" s="3" t="n"/>
      <c r="E14" s="2" t="n"/>
      <c r="F14" s="2" t="n"/>
      <c r="G14" s="2" t="n"/>
      <c r="H14" s="4" t="n"/>
      <c r="I14" s="2" t="n"/>
      <c r="J14" s="5">
        <f>IF(C14="","",E14+F14-G14)</f>
        <v/>
      </c>
      <c r="K14" s="6">
        <f>IF(C14="","",J14*H14)</f>
        <v/>
      </c>
      <c r="L14" s="7">
        <f>IF(C14="","",IFERROR(G14/(E14+F14),0))</f>
        <v/>
      </c>
      <c r="M14" s="8">
        <f>IF(C14="","",IF(J14&lt;0,"Xuất quá tồn - kiểm tra lại",IF(J14=0,"Hết hàng",IF(J14&lt;=I14,"Dưới định mức - cần đặt hàng","Đủ hàng"))))</f>
        <v/>
      </c>
    </row>
    <row r="15">
      <c r="A15" s="2" t="n"/>
      <c r="B15" s="3" t="n"/>
      <c r="C15" s="3" t="n"/>
      <c r="D15" s="3" t="n"/>
      <c r="E15" s="2" t="n"/>
      <c r="F15" s="2" t="n"/>
      <c r="G15" s="2" t="n"/>
      <c r="H15" s="4" t="n"/>
      <c r="I15" s="2" t="n"/>
      <c r="J15" s="5">
        <f>IF(C15="","",E15+F15-G15)</f>
        <v/>
      </c>
      <c r="K15" s="6">
        <f>IF(C15="","",J15*H15)</f>
        <v/>
      </c>
      <c r="L15" s="7">
        <f>IF(C15="","",IFERROR(G15/(E15+F15),0))</f>
        <v/>
      </c>
      <c r="M15" s="8">
        <f>IF(C15="","",IF(J15&lt;0,"Xuất quá tồn - kiểm tra lại",IF(J15=0,"Hết hàng",IF(J15&lt;=I15,"Dưới định mức - cần đặt hàng","Đủ hàng"))))</f>
        <v/>
      </c>
    </row>
    <row r="16">
      <c r="A16" s="2" t="n"/>
      <c r="B16" s="3" t="n"/>
      <c r="C16" s="3" t="n"/>
      <c r="D16" s="3" t="n"/>
      <c r="E16" s="2" t="n"/>
      <c r="F16" s="2" t="n"/>
      <c r="G16" s="2" t="n"/>
      <c r="H16" s="4" t="n"/>
      <c r="I16" s="2" t="n"/>
      <c r="J16" s="5">
        <f>IF(C16="","",E16+F16-G16)</f>
        <v/>
      </c>
      <c r="K16" s="6">
        <f>IF(C16="","",J16*H16)</f>
        <v/>
      </c>
      <c r="L16" s="7">
        <f>IF(C16="","",IFERROR(G16/(E16+F16),0))</f>
        <v/>
      </c>
      <c r="M16" s="8">
        <f>IF(C16="","",IF(J16&lt;0,"Xuất quá tồn - kiểm tra lại",IF(J16=0,"Hết hàng",IF(J16&lt;=I16,"Dưới định mức - cần đặt hàng","Đủ hàng"))))</f>
        <v/>
      </c>
    </row>
    <row r="17">
      <c r="A17" s="2" t="n"/>
      <c r="B17" s="3" t="n"/>
      <c r="C17" s="3" t="n"/>
      <c r="D17" s="3" t="n"/>
      <c r="E17" s="2" t="n"/>
      <c r="F17" s="2" t="n"/>
      <c r="G17" s="2" t="n"/>
      <c r="H17" s="4" t="n"/>
      <c r="I17" s="2" t="n"/>
      <c r="J17" s="5">
        <f>IF(C17="","",E17+F17-G17)</f>
        <v/>
      </c>
      <c r="K17" s="6">
        <f>IF(C17="","",J17*H17)</f>
        <v/>
      </c>
      <c r="L17" s="7">
        <f>IF(C17="","",IFERROR(G17/(E17+F17),0))</f>
        <v/>
      </c>
      <c r="M17" s="8">
        <f>IF(C17="","",IF(J17&lt;0,"Xuất quá tồn - kiểm tra lại",IF(J17=0,"Hết hàng",IF(J17&lt;=I17,"Dưới định mức - cần đặt hàng","Đủ hàng"))))</f>
        <v/>
      </c>
    </row>
    <row r="18">
      <c r="A18" s="2" t="n"/>
      <c r="B18" s="3" t="n"/>
      <c r="C18" s="3" t="n"/>
      <c r="D18" s="3" t="n"/>
      <c r="E18" s="2" t="n"/>
      <c r="F18" s="2" t="n"/>
      <c r="G18" s="2" t="n"/>
      <c r="H18" s="4" t="n"/>
      <c r="I18" s="2" t="n"/>
      <c r="J18" s="5">
        <f>IF(C18="","",E18+F18-G18)</f>
        <v/>
      </c>
      <c r="K18" s="6">
        <f>IF(C18="","",J18*H18)</f>
        <v/>
      </c>
      <c r="L18" s="7">
        <f>IF(C18="","",IFERROR(G18/(E18+F18),0))</f>
        <v/>
      </c>
      <c r="M18" s="8">
        <f>IF(C18="","",IF(J18&lt;0,"Xuất quá tồn - kiểm tra lại",IF(J18=0,"Hết hàng",IF(J18&lt;=I18,"Dưới định mức - cần đặt hàng","Đủ hàng"))))</f>
        <v/>
      </c>
    </row>
    <row r="19">
      <c r="A19" s="2" t="n"/>
      <c r="B19" s="3" t="n"/>
      <c r="C19" s="3" t="n"/>
      <c r="D19" s="3" t="n"/>
      <c r="E19" s="2" t="n"/>
      <c r="F19" s="2" t="n"/>
      <c r="G19" s="2" t="n"/>
      <c r="H19" s="4" t="n"/>
      <c r="I19" s="2" t="n"/>
      <c r="J19" s="5">
        <f>IF(C19="","",E19+F19-G19)</f>
        <v/>
      </c>
      <c r="K19" s="6">
        <f>IF(C19="","",J19*H19)</f>
        <v/>
      </c>
      <c r="L19" s="7">
        <f>IF(C19="","",IFERROR(G19/(E19+F19),0))</f>
        <v/>
      </c>
      <c r="M19" s="8">
        <f>IF(C19="","",IF(J19&lt;0,"Xuất quá tồn - kiểm tra lại",IF(J19=0,"Hết hàng",IF(J19&lt;=I19,"Dưới định mức - cần đặt hàng","Đủ hàng"))))</f>
        <v/>
      </c>
    </row>
    <row r="20">
      <c r="A20" s="2" t="n"/>
      <c r="B20" s="3" t="n"/>
      <c r="C20" s="3" t="n"/>
      <c r="D20" s="3" t="n"/>
      <c r="E20" s="2" t="n"/>
      <c r="F20" s="2" t="n"/>
      <c r="G20" s="2" t="n"/>
      <c r="H20" s="4" t="n"/>
      <c r="I20" s="2" t="n"/>
      <c r="J20" s="5">
        <f>IF(C20="","",E20+F20-G20)</f>
        <v/>
      </c>
      <c r="K20" s="6">
        <f>IF(C20="","",J20*H20)</f>
        <v/>
      </c>
      <c r="L20" s="7">
        <f>IF(C20="","",IFERROR(G20/(E20+F20),0))</f>
        <v/>
      </c>
      <c r="M20" s="8">
        <f>IF(C20="","",IF(J20&lt;0,"Xuất quá tồn - kiểm tra lại",IF(J20=0,"Hết hàng",IF(J20&lt;=I20,"Dưới định mức - cần đặt hàng","Đủ hàng"))))</f>
        <v/>
      </c>
    </row>
    <row r="21">
      <c r="A21" s="2" t="n"/>
      <c r="B21" s="3" t="n"/>
      <c r="C21" s="3" t="n"/>
      <c r="D21" s="3" t="n"/>
      <c r="E21" s="2" t="n"/>
      <c r="F21" s="2" t="n"/>
      <c r="G21" s="2" t="n"/>
      <c r="H21" s="4" t="n"/>
      <c r="I21" s="2" t="n"/>
      <c r="J21" s="5">
        <f>IF(C21="","",E21+F21-G21)</f>
        <v/>
      </c>
      <c r="K21" s="6">
        <f>IF(C21="","",J21*H21)</f>
        <v/>
      </c>
      <c r="L21" s="7">
        <f>IF(C21="","",IFERROR(G21/(E21+F21),0))</f>
        <v/>
      </c>
      <c r="M21" s="8">
        <f>IF(C21="","",IF(J21&lt;0,"Xuất quá tồn - kiểm tra lại",IF(J21=0,"Hết hàng",IF(J21&lt;=I21,"Dưới định mức - cần đặt hàng","Đủ hàng"))))</f>
        <v/>
      </c>
    </row>
    <row r="22">
      <c r="A22" s="2" t="n"/>
      <c r="B22" s="3" t="n"/>
      <c r="C22" s="3" t="n"/>
      <c r="D22" s="3" t="n"/>
      <c r="E22" s="2" t="n"/>
      <c r="F22" s="2" t="n"/>
      <c r="G22" s="2" t="n"/>
      <c r="H22" s="4" t="n"/>
      <c r="I22" s="2" t="n"/>
      <c r="J22" s="5">
        <f>IF(C22="","",E22+F22-G22)</f>
        <v/>
      </c>
      <c r="K22" s="6">
        <f>IF(C22="","",J22*H22)</f>
        <v/>
      </c>
      <c r="L22" s="7">
        <f>IF(C22="","",IFERROR(G22/(E22+F22),0))</f>
        <v/>
      </c>
      <c r="M22" s="8">
        <f>IF(C22="","",IF(J22&lt;0,"Xuất quá tồn - kiểm tra lại",IF(J22=0,"Hết hàng",IF(J22&lt;=I22,"Dưới định mức - cần đặt hàng","Đủ hàng"))))</f>
        <v/>
      </c>
    </row>
    <row r="23">
      <c r="A23" s="2" t="n"/>
      <c r="B23" s="3" t="n"/>
      <c r="C23" s="3" t="n"/>
      <c r="D23" s="3" t="n"/>
      <c r="E23" s="2" t="n"/>
      <c r="F23" s="2" t="n"/>
      <c r="G23" s="2" t="n"/>
      <c r="H23" s="4" t="n"/>
      <c r="I23" s="2" t="n"/>
      <c r="J23" s="5">
        <f>IF(C23="","",E23+F23-G23)</f>
        <v/>
      </c>
      <c r="K23" s="6">
        <f>IF(C23="","",J23*H23)</f>
        <v/>
      </c>
      <c r="L23" s="7">
        <f>IF(C23="","",IFERROR(G23/(E23+F23),0))</f>
        <v/>
      </c>
      <c r="M23" s="8">
        <f>IF(C23="","",IF(J23&lt;0,"Xuất quá tồn - kiểm tra lại",IF(J23=0,"Hết hàng",IF(J23&lt;=I23,"Dưới định mức - cần đặt hàng","Đủ hàng"))))</f>
        <v/>
      </c>
    </row>
    <row r="24">
      <c r="A24" s="2" t="n"/>
      <c r="B24" s="3" t="n"/>
      <c r="C24" s="3" t="n"/>
      <c r="D24" s="3" t="n"/>
      <c r="E24" s="2" t="n"/>
      <c r="F24" s="2" t="n"/>
      <c r="G24" s="2" t="n"/>
      <c r="H24" s="4" t="n"/>
      <c r="I24" s="2" t="n"/>
      <c r="J24" s="5">
        <f>IF(C24="","",E24+F24-G24)</f>
        <v/>
      </c>
      <c r="K24" s="6">
        <f>IF(C24="","",J24*H24)</f>
        <v/>
      </c>
      <c r="L24" s="7">
        <f>IF(C24="","",IFERROR(G24/(E24+F24),0))</f>
        <v/>
      </c>
      <c r="M24" s="8">
        <f>IF(C24="","",IF(J24&lt;0,"Xuất quá tồn - kiểm tra lại",IF(J24=0,"Hết hàng",IF(J24&lt;=I24,"Dưới định mức - cần đặt hàng","Đủ hàng"))))</f>
        <v/>
      </c>
    </row>
    <row r="25">
      <c r="A25" s="2" t="n"/>
      <c r="B25" s="3" t="n"/>
      <c r="C25" s="3" t="n"/>
      <c r="D25" s="3" t="n"/>
      <c r="E25" s="2" t="n"/>
      <c r="F25" s="2" t="n"/>
      <c r="G25" s="2" t="n"/>
      <c r="H25" s="4" t="n"/>
      <c r="I25" s="2" t="n"/>
      <c r="J25" s="5">
        <f>IF(C25="","",E25+F25-G25)</f>
        <v/>
      </c>
      <c r="K25" s="6">
        <f>IF(C25="","",J25*H25)</f>
        <v/>
      </c>
      <c r="L25" s="7">
        <f>IF(C25="","",IFERROR(G25/(E25+F25),0))</f>
        <v/>
      </c>
      <c r="M25" s="8">
        <f>IF(C25="","",IF(J25&lt;0,"Xuất quá tồn - kiểm tra lại",IF(J25=0,"Hết hàng",IF(J25&lt;=I25,"Dưới định mức - cần đặt hàng","Đủ hàng"))))</f>
        <v/>
      </c>
    </row>
    <row r="26">
      <c r="A26" s="2" t="n"/>
      <c r="B26" s="3" t="n"/>
      <c r="C26" s="3" t="n"/>
      <c r="D26" s="3" t="n"/>
      <c r="E26" s="2" t="n"/>
      <c r="F26" s="2" t="n"/>
      <c r="G26" s="2" t="n"/>
      <c r="H26" s="4" t="n"/>
      <c r="I26" s="2" t="n"/>
      <c r="J26" s="5">
        <f>IF(C26="","",E26+F26-G26)</f>
        <v/>
      </c>
      <c r="K26" s="6">
        <f>IF(C26="","",J26*H26)</f>
        <v/>
      </c>
      <c r="L26" s="7">
        <f>IF(C26="","",IFERROR(G26/(E26+F26),0))</f>
        <v/>
      </c>
      <c r="M26" s="8">
        <f>IF(C26="","",IF(J26&lt;0,"Xuất quá tồn - kiểm tra lại",IF(J26=0,"Hết hàng",IF(J26&lt;=I26,"Dưới định mức - cần đặt hàng","Đủ hàng"))))</f>
        <v/>
      </c>
    </row>
    <row r="27">
      <c r="A27" s="2" t="n"/>
      <c r="B27" s="3" t="n"/>
      <c r="C27" s="3" t="n"/>
      <c r="D27" s="3" t="n"/>
      <c r="E27" s="2" t="n"/>
      <c r="F27" s="2" t="n"/>
      <c r="G27" s="2" t="n"/>
      <c r="H27" s="4" t="n"/>
      <c r="I27" s="2" t="n"/>
      <c r="J27" s="5">
        <f>IF(C27="","",E27+F27-G27)</f>
        <v/>
      </c>
      <c r="K27" s="6">
        <f>IF(C27="","",J27*H27)</f>
        <v/>
      </c>
      <c r="L27" s="7">
        <f>IF(C27="","",IFERROR(G27/(E27+F27),0))</f>
        <v/>
      </c>
      <c r="M27" s="8">
        <f>IF(C27="","",IF(J27&lt;0,"Xuất quá tồn - kiểm tra lại",IF(J27=0,"Hết hàng",IF(J27&lt;=I27,"Dưới định mức - cần đặt hàng","Đủ hàng"))))</f>
        <v/>
      </c>
    </row>
    <row r="28">
      <c r="A28" s="2" t="n"/>
      <c r="B28" s="3" t="n"/>
      <c r="C28" s="3" t="n"/>
      <c r="D28" s="3" t="n"/>
      <c r="E28" s="2" t="n"/>
      <c r="F28" s="2" t="n"/>
      <c r="G28" s="2" t="n"/>
      <c r="H28" s="4" t="n"/>
      <c r="I28" s="2" t="n"/>
      <c r="J28" s="5">
        <f>IF(C28="","",E28+F28-G28)</f>
        <v/>
      </c>
      <c r="K28" s="6">
        <f>IF(C28="","",J28*H28)</f>
        <v/>
      </c>
      <c r="L28" s="7">
        <f>IF(C28="","",IFERROR(G28/(E28+F28),0))</f>
        <v/>
      </c>
      <c r="M28" s="8">
        <f>IF(C28="","",IF(J28&lt;0,"Xuất quá tồn - kiểm tra lại",IF(J28=0,"Hết hàng",IF(J28&lt;=I28,"Dưới định mức - cần đặt hàng","Đủ hàng"))))</f>
        <v/>
      </c>
    </row>
    <row r="29">
      <c r="A29" s="2" t="n"/>
      <c r="B29" s="3" t="n"/>
      <c r="C29" s="3" t="n"/>
      <c r="D29" s="3" t="n"/>
      <c r="E29" s="2" t="n"/>
      <c r="F29" s="2" t="n"/>
      <c r="G29" s="2" t="n"/>
      <c r="H29" s="4" t="n"/>
      <c r="I29" s="2" t="n"/>
      <c r="J29" s="5">
        <f>IF(C29="","",E29+F29-G29)</f>
        <v/>
      </c>
      <c r="K29" s="6">
        <f>IF(C29="","",J29*H29)</f>
        <v/>
      </c>
      <c r="L29" s="7">
        <f>IF(C29="","",IFERROR(G29/(E29+F29),0))</f>
        <v/>
      </c>
      <c r="M29" s="8">
        <f>IF(C29="","",IF(J29&lt;0,"Xuất quá tồn - kiểm tra lại",IF(J29=0,"Hết hàng",IF(J29&lt;=I29,"Dưới định mức - cần đặt hàng","Đủ hàng"))))</f>
        <v/>
      </c>
    </row>
    <row r="30">
      <c r="A30" s="2" t="n"/>
      <c r="B30" s="3" t="n"/>
      <c r="C30" s="3" t="n"/>
      <c r="D30" s="3" t="n"/>
      <c r="E30" s="2" t="n"/>
      <c r="F30" s="2" t="n"/>
      <c r="G30" s="2" t="n"/>
      <c r="H30" s="4" t="n"/>
      <c r="I30" s="2" t="n"/>
      <c r="J30" s="5">
        <f>IF(C30="","",E30+F30-G30)</f>
        <v/>
      </c>
      <c r="K30" s="6">
        <f>IF(C30="","",J30*H30)</f>
        <v/>
      </c>
      <c r="L30" s="7">
        <f>IF(C30="","",IFERROR(G30/(E30+F30),0))</f>
        <v/>
      </c>
      <c r="M30" s="8">
        <f>IF(C30="","",IF(J30&lt;0,"Xuất quá tồn - kiểm tra lại",IF(J30=0,"Hết hàng",IF(J30&lt;=I30,"Dưới định mức - cần đặt hàng","Đủ hàng"))))</f>
        <v/>
      </c>
    </row>
    <row r="31">
      <c r="A31" s="2" t="n"/>
      <c r="B31" s="3" t="n"/>
      <c r="C31" s="3" t="n"/>
      <c r="D31" s="3" t="n"/>
      <c r="E31" s="2" t="n"/>
      <c r="F31" s="2" t="n"/>
      <c r="G31" s="2" t="n"/>
      <c r="H31" s="4" t="n"/>
      <c r="I31" s="2" t="n"/>
      <c r="J31" s="5">
        <f>IF(C31="","",E31+F31-G31)</f>
        <v/>
      </c>
      <c r="K31" s="6">
        <f>IF(C31="","",J31*H31)</f>
        <v/>
      </c>
      <c r="L31" s="7">
        <f>IF(C31="","",IFERROR(G31/(E31+F31),0))</f>
        <v/>
      </c>
      <c r="M31" s="8">
        <f>IF(C31="","",IF(J31&lt;0,"Xuất quá tồn - kiểm tra lại",IF(J31=0,"Hết hàng",IF(J31&lt;=I31,"Dưới định mức - cần đặt hàng","Đủ hàng"))))</f>
        <v/>
      </c>
    </row>
    <row r="32">
      <c r="A32" s="2" t="n"/>
      <c r="B32" s="3" t="n"/>
      <c r="C32" s="3" t="n"/>
      <c r="D32" s="3" t="n"/>
      <c r="E32" s="2" t="n"/>
      <c r="F32" s="2" t="n"/>
      <c r="G32" s="2" t="n"/>
      <c r="H32" s="4" t="n"/>
      <c r="I32" s="2" t="n"/>
      <c r="J32" s="5">
        <f>IF(C32="","",E32+F32-G32)</f>
        <v/>
      </c>
      <c r="K32" s="6">
        <f>IF(C32="","",J32*H32)</f>
        <v/>
      </c>
      <c r="L32" s="7">
        <f>IF(C32="","",IFERROR(G32/(E32+F32),0))</f>
        <v/>
      </c>
      <c r="M32" s="8">
        <f>IF(C32="","",IF(J32&lt;0,"Xuất quá tồn - kiểm tra lại",IF(J32=0,"Hết hàng",IF(J32&lt;=I32,"Dưới định mức - cần đặt hàng","Đủ hàng"))))</f>
        <v/>
      </c>
    </row>
    <row r="33">
      <c r="A33" s="2" t="n"/>
      <c r="B33" s="3" t="n"/>
      <c r="C33" s="3" t="n"/>
      <c r="D33" s="3" t="n"/>
      <c r="E33" s="2" t="n"/>
      <c r="F33" s="2" t="n"/>
      <c r="G33" s="2" t="n"/>
      <c r="H33" s="4" t="n"/>
      <c r="I33" s="2" t="n"/>
      <c r="J33" s="5">
        <f>IF(C33="","",E33+F33-G33)</f>
        <v/>
      </c>
      <c r="K33" s="6">
        <f>IF(C33="","",J33*H33)</f>
        <v/>
      </c>
      <c r="L33" s="7">
        <f>IF(C33="","",IFERROR(G33/(E33+F33),0))</f>
        <v/>
      </c>
      <c r="M33" s="8">
        <f>IF(C33="","",IF(J33&lt;0,"Xuất quá tồn - kiểm tra lại",IF(J33=0,"Hết hàng",IF(J33&lt;=I33,"Dưới định mức - cần đặt hàng","Đủ hàng"))))</f>
        <v/>
      </c>
    </row>
    <row r="34">
      <c r="A34" s="2" t="n"/>
      <c r="B34" s="3" t="n"/>
      <c r="C34" s="3" t="n"/>
      <c r="D34" s="3" t="n"/>
      <c r="E34" s="2" t="n"/>
      <c r="F34" s="2" t="n"/>
      <c r="G34" s="2" t="n"/>
      <c r="H34" s="4" t="n"/>
      <c r="I34" s="2" t="n"/>
      <c r="J34" s="5">
        <f>IF(C34="","",E34+F34-G34)</f>
        <v/>
      </c>
      <c r="K34" s="6">
        <f>IF(C34="","",J34*H34)</f>
        <v/>
      </c>
      <c r="L34" s="7">
        <f>IF(C34="","",IFERROR(G34/(E34+F34),0))</f>
        <v/>
      </c>
      <c r="M34" s="8">
        <f>IF(C34="","",IF(J34&lt;0,"Xuất quá tồn - kiểm tra lại",IF(J34=0,"Hết hàng",IF(J34&lt;=I34,"Dưới định mức - cần đặt hàng","Đủ hàng"))))</f>
        <v/>
      </c>
    </row>
    <row r="35">
      <c r="A35" s="2" t="n"/>
      <c r="B35" s="3" t="n"/>
      <c r="C35" s="3" t="n"/>
      <c r="D35" s="3" t="n"/>
      <c r="E35" s="2" t="n"/>
      <c r="F35" s="2" t="n"/>
      <c r="G35" s="2" t="n"/>
      <c r="H35" s="4" t="n"/>
      <c r="I35" s="2" t="n"/>
      <c r="J35" s="5">
        <f>IF(C35="","",E35+F35-G35)</f>
        <v/>
      </c>
      <c r="K35" s="6">
        <f>IF(C35="","",J35*H35)</f>
        <v/>
      </c>
      <c r="L35" s="7">
        <f>IF(C35="","",IFERROR(G35/(E35+F35),0))</f>
        <v/>
      </c>
      <c r="M35" s="8">
        <f>IF(C35="","",IF(J35&lt;0,"Xuất quá tồn - kiểm tra lại",IF(J35=0,"Hết hàng",IF(J35&lt;=I35,"Dưới định mức - cần đặt hàng","Đủ hàng"))))</f>
        <v/>
      </c>
    </row>
    <row r="36">
      <c r="A36" s="2" t="n"/>
      <c r="B36" s="3" t="n"/>
      <c r="C36" s="3" t="n"/>
      <c r="D36" s="3" t="n"/>
      <c r="E36" s="2" t="n"/>
      <c r="F36" s="2" t="n"/>
      <c r="G36" s="2" t="n"/>
      <c r="H36" s="4" t="n"/>
      <c r="I36" s="2" t="n"/>
      <c r="J36" s="5">
        <f>IF(C36="","",E36+F36-G36)</f>
        <v/>
      </c>
      <c r="K36" s="6">
        <f>IF(C36="","",J36*H36)</f>
        <v/>
      </c>
      <c r="L36" s="7">
        <f>IF(C36="","",IFERROR(G36/(E36+F36),0))</f>
        <v/>
      </c>
      <c r="M36" s="8">
        <f>IF(C36="","",IF(J36&lt;0,"Xuất quá tồn - kiểm tra lại",IF(J36=0,"Hết hàng",IF(J36&lt;=I36,"Dưới định mức - cần đặt hàng","Đủ hàng"))))</f>
        <v/>
      </c>
    </row>
    <row r="37">
      <c r="A37" s="2" t="n"/>
      <c r="B37" s="3" t="n"/>
      <c r="C37" s="3" t="n"/>
      <c r="D37" s="3" t="n"/>
      <c r="E37" s="2" t="n"/>
      <c r="F37" s="2" t="n"/>
      <c r="G37" s="2" t="n"/>
      <c r="H37" s="4" t="n"/>
      <c r="I37" s="2" t="n"/>
      <c r="J37" s="5">
        <f>IF(C37="","",E37+F37-G37)</f>
        <v/>
      </c>
      <c r="K37" s="6">
        <f>IF(C37="","",J37*H37)</f>
        <v/>
      </c>
      <c r="L37" s="7">
        <f>IF(C37="","",IFERROR(G37/(E37+F37),0))</f>
        <v/>
      </c>
      <c r="M37" s="8">
        <f>IF(C37="","",IF(J37&lt;0,"Xuất quá tồn - kiểm tra lại",IF(J37=0,"Hết hàng",IF(J37&lt;=I37,"Dưới định mức - cần đặt hàng","Đủ hàng"))))</f>
        <v/>
      </c>
    </row>
  </sheetData>
  <autoFilter ref="A1:M37"/>
  <dataValidations count="6">
    <dataValidation sqref="D2:D37" showDropDown="0" showInputMessage="0" showErrorMessage="0" allowBlank="1" errorTitle="Sai định dạng" error="Giá trị không hợp lệ cho cột này." type="list">
      <formula1>"Cái,Hộp,Thùng,Kg,Mét,Bộ,Lít,Cuộn,Túi,Can"</formula1>
    </dataValidation>
    <dataValidation sqref="E2:E37" showDropDown="0" showInputMessage="0" showErrorMessage="0" allowBlank="1" errorTitle="Sai định dạng" error="Giá trị không hợp lệ cho cột này." type="decimal" operator="between">
      <formula1>0</formula1>
      <formula2>1000000</formula2>
    </dataValidation>
    <dataValidation sqref="F2:F37" showDropDown="0" showInputMessage="0" showErrorMessage="0" allowBlank="1" errorTitle="Sai định dạng" error="Giá trị không hợp lệ cho cột này." type="decimal" operator="between">
      <formula1>0</formula1>
      <formula2>1000000</formula2>
    </dataValidation>
    <dataValidation sqref="G2:G37" showDropDown="0" showInputMessage="0" showErrorMessage="0" allowBlank="1" errorTitle="Sai định dạng" error="Giá trị không hợp lệ cho cột này." type="decimal" operator="between">
      <formula1>0</formula1>
      <formula2>1000000</formula2>
    </dataValidation>
    <dataValidation sqref="H2:H37" showDropDown="0" showInputMessage="0" showErrorMessage="0" allowBlank="1" errorTitle="Sai định dạng" error="Giá trị không hợp lệ cho cột này." type="decimal" operator="between">
      <formula1>0</formula1>
      <formula2>1000000000</formula2>
    </dataValidation>
    <dataValidation sqref="I2:I37" showDropDown="0" showInputMessage="0" showErrorMessage="0" allowBlank="1" errorTitle="Sai định dạng" error="Giá trị không hợp lệ cho cột này." type="decimal" operator="between">
      <formula1>0</formula1>
      <formula2>1000000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9" t="inlineStr">
        <is>
          <t>Mẫu Excel sổ kho nhập xuất tồn (tự tính tồn cuối kỳ và giá trị tồn)</t>
        </is>
      </c>
    </row>
    <row r="2">
      <c r="B2" s="10" t="inlineStr"/>
    </row>
    <row r="3">
      <c r="B3" s="11" t="inlineStr">
        <is>
          <t>CÁCH DÙNG</t>
        </is>
      </c>
    </row>
    <row r="4">
      <c r="B4" s="12" t="inlineStr">
        <is>
          <t>1. Chuyển tồn cuối kỳ trước sang tồn đầu kỳ này</t>
        </is>
      </c>
    </row>
    <row r="5">
      <c r="B5" s="10" t="inlineStr">
        <is>
          <t xml:space="preserve">   Cột Tồn đầu kỳ phải bằng đúng tồn cuối kỳ của bảng kỳ trước, không phải số kiểm kê ước lượng. Sai ở đây thì mọi con số phía sau lệch theo mà không cột nào phát hiện được.</t>
        </is>
      </c>
    </row>
    <row r="6">
      <c r="B6" s="12" t="inlineStr">
        <is>
          <t>2. Nhập tổng nhập và tổng xuất trong kỳ</t>
        </is>
      </c>
    </row>
    <row r="7">
      <c r="B7" s="10" t="inlineStr">
        <is>
          <t xml:space="preserve">   Cộng các phiếu nhập của cùng một mặt hàng lại thành một số, làm tương tự với phiếu xuất. Bảng này là bảng tổng hợp theo kỳ, không phải sổ ghi từng phiếu.</t>
        </is>
      </c>
    </row>
    <row r="8">
      <c r="B8" s="12" t="inlineStr">
        <is>
          <t>3. Nhập đơn giá và định mức tối thiểu</t>
        </is>
      </c>
    </row>
    <row r="9">
      <c r="B9" s="10" t="inlineStr">
        <is>
          <t xml:space="preserve">   Đơn giá là giá vốn bình quân đang áp dụng cho mặt hàng đó. Định mức tối thiểu là mức tồn mà xuống tới đó thì phải đặt hàng, tính từ lượng bán bình quân nhân số ngày nhà cung cấp cần để giao.</t>
        </is>
      </c>
    </row>
    <row r="10">
      <c r="B10" s="12" t="inlineStr">
        <is>
          <t>4. Xử lý các dòng bị cảnh báo</t>
        </is>
      </c>
    </row>
    <row r="11">
      <c r="B11" s="10" t="inlineStr">
        <is>
          <t xml:space="preserve">   Dòng báo xuất quá tồn là lỗi số liệu, phải sửa trước khi làm gì tiếp vì kho không thể xuất nhiều hơn số đang có. Dòng báo dưới định mức là việc cần làm: lên đơn đặt hàng.</t>
        </is>
      </c>
    </row>
    <row r="12">
      <c r="B12" s="12" t="inlineStr">
        <is>
          <t>5. Đối chiếu với kiểm kê thực tế</t>
        </is>
      </c>
    </row>
    <row r="13">
      <c r="B13" s="10" t="inlineStr">
        <is>
          <t xml:space="preserve">   Cuối kỳ đếm hàng trong kho rồi so với cột Tồn cuối kỳ. Lệch nhau thì rà lại phiếu nhập xuất chưa vào sổ trước, sau đó mới tính đến hao hụt hoặc mất mát.</t>
        </is>
      </c>
    </row>
    <row r="14">
      <c r="B14" s="10" t="inlineStr"/>
    </row>
    <row r="15">
      <c r="B15" s="11" t="inlineStr">
        <is>
          <t>CÔNG THỨC TRONG FILE</t>
        </is>
      </c>
    </row>
    <row r="16">
      <c r="B16" s="12" t="inlineStr">
        <is>
          <t>Tồn cuối kỳ  —  =IF(C2="","",E2+F2-G2)</t>
        </is>
      </c>
    </row>
    <row r="17">
      <c r="B17" s="10" t="inlineStr">
        <is>
          <t xml:space="preserve">   Phương trình cân đối kho: tồn đầu kỳ cộng nhập trừ xuất. Đây là con số phải đem so với kết quả kiểm kê thực tế cuối kỳ, lệch nhau bao nhiêu là phải giải thích được bấy nhiêu.</t>
        </is>
      </c>
    </row>
    <row r="18">
      <c r="B18" s="12" t="inlineStr">
        <is>
          <t>Giá trị tồn kho  —  =IF(C2="","",J2*H2)</t>
        </is>
      </c>
    </row>
    <row r="19">
      <c r="B19" s="10" t="inlineStr">
        <is>
          <t xml:space="preserve">   Số lượng tồn cuối kỳ nhân đơn giá. Cột này lấy đúng một đơn giá cho cả dòng nên tương ứng với phương pháp bình quân gia quyền, không phản ánh được cách tính giá theo từng lô nhập.</t>
        </is>
      </c>
    </row>
    <row r="20">
      <c r="B20" s="12" t="inlineStr">
        <is>
          <t>Tỷ lệ xuất trong kỳ  —  =IF(C2="","",IFERROR(G2/(E2+F2),0))</t>
        </is>
      </c>
    </row>
    <row r="21">
      <c r="B21" s="10" t="inlineStr">
        <is>
          <t xml:space="preserve">   Số đã xuất chia cho tổng lượng hàng có thể xuất trong kỳ, tức tồn đầu cộng nhập. Bọc IFERROR để mặt hàng chưa có tồn lẫn nhập thì trả về 0% thay vì lỗi #DIV/0! do chia cho 0.</t>
        </is>
      </c>
    </row>
    <row r="22">
      <c r="B22" s="12" t="inlineStr">
        <is>
          <t>Cảnh báo tồn kho  —  =IF(C2="","",IF(J2&lt;0,"Xuất quá tồn - kiểm tra lại",IF(J2=0,"Hết hàng",IF(J2&lt;=I2,"Dưới định mức - cần đặt hàng","Đủ hàng"))))</t>
        </is>
      </c>
    </row>
    <row r="23">
      <c r="B23" s="10" t="inlineStr">
        <is>
          <t xml:space="preserve">   Ba hàm IF lồng nhau, xét từ trường hợp bất khả thi tới trường hợp bình thường. Nhánh đầu tiên bắt lỗi số liệu vì kho không xuất được nhiều hơn số đang có; hai nhánh sau mới là tình trạng kho thật cần xử lý bằng việc đặt hàng.</t>
        </is>
      </c>
    </row>
    <row r="24">
      <c r="B24" s="10" t="inlineStr"/>
    </row>
    <row r="25">
      <c r="B25" s="12" t="inlineStr">
        <is>
          <t>Bản cập nhật mới nhất và hướng dẫn chi tiết:</t>
        </is>
      </c>
    </row>
    <row r="26">
      <c r="B26" s="13" t="inlineStr">
        <is>
          <t>https://excel.nguyenvietloc.com/mau-excel/ke-toan/so-kho-nhap-xuat-ton</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