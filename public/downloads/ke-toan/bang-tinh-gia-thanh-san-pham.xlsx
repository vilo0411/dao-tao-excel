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ính giá thành" sheetId="1" state="visible" r:id="rId1"/>
    <sheet name="Hướng dẫn" sheetId="2" state="visible" r:id="rId2"/>
  </sheets>
  <definedNames>
    <definedName name="_xlnm._FilterDatabase" localSheetId="0" hidden="1">'Tính giá thành'!$A$1:$R$32</definedName>
  </definedNames>
  <calcPr calcId="124519" fullCalcOnLoad="1"/>
</workbook>
</file>

<file path=xl/styles.xml><?xml version="1.0" encoding="utf-8"?>
<styleSheet xmlns="http://schemas.openxmlformats.org/spreadsheetml/2006/main">
  <numFmts count="3">
    <numFmt numFmtId="164" formatCode="#,##0.##"/>
    <numFmt numFmtId="165" formatCode="#,##0 &quot;₫&quot;"/>
    <numFmt numFmtId="166"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5" fontId="0" fillId="0" borderId="1" pivotButton="0" quotePrefix="0" xfId="0"/>
    <xf numFmtId="165" fontId="0" fillId="3" borderId="1" pivotButton="0" quotePrefix="0" xfId="0"/>
    <xf numFmtId="166"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tinh-gia-thanh-san-pham" TargetMode="External" Id="rId1" /></Relationships>
</file>

<file path=xl/worksheets/sheet1.xml><?xml version="1.0" encoding="utf-8"?>
<worksheet xmlns="http://schemas.openxmlformats.org/spreadsheetml/2006/main">
  <sheetPr>
    <outlinePr summaryBelow="1" summaryRight="1"/>
    <pageSetUpPr/>
  </sheetPr>
  <dimension ref="A1:R32"/>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32" customWidth="1" min="3" max="3"/>
    <col width="10" customWidth="1" min="4" max="4"/>
    <col width="15" customWidth="1" min="5" max="5"/>
    <col width="17" customWidth="1" min="6" max="6"/>
    <col width="20" customWidth="1" min="7" max="7"/>
    <col width="18" customWidth="1" min="8" max="8"/>
    <col width="19" customWidth="1" min="9" max="9"/>
    <col width="17" customWidth="1" min="10" max="10"/>
    <col width="17" customWidth="1" min="11" max="11"/>
    <col width="20" customWidth="1" min="12" max="12"/>
    <col width="18" customWidth="1" min="13" max="13"/>
    <col width="17" customWidth="1" min="14" max="14"/>
    <col width="12" customWidth="1" min="15" max="15"/>
    <col width="17" customWidth="1" min="16" max="16"/>
    <col width="12" customWidth="1" min="17" max="17"/>
    <col width="32" customWidth="1" min="18" max="18"/>
  </cols>
  <sheetData>
    <row r="1" ht="32" customHeight="1">
      <c r="A1" s="1" t="inlineStr">
        <is>
          <t>STT</t>
        </is>
      </c>
      <c r="B1" s="1" t="inlineStr">
        <is>
          <t>Mã sản phẩm</t>
        </is>
      </c>
      <c r="C1" s="1" t="inlineStr">
        <is>
          <t>Tên sản phẩm</t>
        </is>
      </c>
      <c r="D1" s="1" t="inlineStr">
        <is>
          <t>ĐVT</t>
        </is>
      </c>
      <c r="E1" s="1" t="inlineStr">
        <is>
          <t>Số lượng hoàn thành</t>
        </is>
      </c>
      <c r="F1" s="1" t="inlineStr">
        <is>
          <t>Dở dang đầu kỳ</t>
        </is>
      </c>
      <c r="G1" s="1" t="inlineStr">
        <is>
          <t>Nguyên vật liệu trực tiếp</t>
        </is>
      </c>
      <c r="H1" s="1" t="inlineStr">
        <is>
          <t>Nhân công trực tiếp</t>
        </is>
      </c>
      <c r="I1" s="1" t="inlineStr">
        <is>
          <t>Chi phí sản xuất chung</t>
        </is>
      </c>
      <c r="J1" s="1" t="inlineStr">
        <is>
          <t>Dở dang cuối kỳ</t>
        </is>
      </c>
      <c r="K1" s="1" t="inlineStr">
        <is>
          <t>Giá bán một đơn vị</t>
        </is>
      </c>
      <c r="L1" s="1" t="inlineStr">
        <is>
          <t>Chi phí phát sinh trong kỳ</t>
        </is>
      </c>
      <c r="M1" s="1" t="inlineStr">
        <is>
          <t>Tổng giá thành</t>
        </is>
      </c>
      <c r="N1" s="1" t="inlineStr">
        <is>
          <t>Giá thành đơn vị</t>
        </is>
      </c>
      <c r="O1" s="1" t="inlineStr">
        <is>
          <t>Tỷ trọng NVL</t>
        </is>
      </c>
      <c r="P1" s="1" t="inlineStr">
        <is>
          <t>Lãi gộp một đơn vị</t>
        </is>
      </c>
      <c r="Q1" s="1" t="inlineStr">
        <is>
          <t>Tỷ lệ lãi gộp</t>
        </is>
      </c>
      <c r="R1" s="1" t="inlineStr">
        <is>
          <t>Cảnh báo</t>
        </is>
      </c>
    </row>
    <row r="2">
      <c r="A2" s="2" t="n">
        <v>1</v>
      </c>
      <c r="B2" s="3" t="inlineStr">
        <is>
          <t>SP001</t>
        </is>
      </c>
      <c r="C2" s="3" t="inlineStr">
        <is>
          <t>Bánh quy bơ hộp thiếc 200g</t>
        </is>
      </c>
      <c r="D2" s="3" t="inlineStr">
        <is>
          <t>Hộp</t>
        </is>
      </c>
      <c r="E2" s="2" t="n">
        <v>12000</v>
      </c>
      <c r="F2" s="4" t="n">
        <v>8000000</v>
      </c>
      <c r="G2" s="4" t="n">
        <v>168000000</v>
      </c>
      <c r="H2" s="4" t="n">
        <v>42000000</v>
      </c>
      <c r="I2" s="4" t="n">
        <v>36000000</v>
      </c>
      <c r="J2" s="4" t="n">
        <v>12000000</v>
      </c>
      <c r="K2" s="4" t="n">
        <v>25000</v>
      </c>
      <c r="L2" s="5">
        <f>IF(C2="","",SUM(G2:I2))</f>
        <v/>
      </c>
      <c r="M2" s="5">
        <f>IF(C2="","",F2+L2-J2)</f>
        <v/>
      </c>
      <c r="N2" s="5">
        <f>IF(C2="","",IFERROR(ROUND(M2/E2,0),0))</f>
        <v/>
      </c>
      <c r="O2" s="6">
        <f>IF(C2="","",IFERROR(G2/L2,0))</f>
        <v/>
      </c>
      <c r="P2" s="5">
        <f>IF(C2="","",K2-N2)</f>
        <v/>
      </c>
      <c r="Q2" s="6">
        <f>IF(C2="","",IFERROR(P2/K2,0))</f>
        <v/>
      </c>
      <c r="R2" s="7">
        <f>IF(C2="","",IF(K2&lt;=0,"Chưa nhập giá bán",IF(P2&lt;0,"Bán dưới giá thành",IF(Q2&lt;0.1,"Lãi gộp mỏng dưới 10%","Bình thường"))))</f>
        <v/>
      </c>
    </row>
    <row r="3">
      <c r="A3" s="2" t="n">
        <v>2</v>
      </c>
      <c r="B3" s="3" t="inlineStr">
        <is>
          <t>SP002</t>
        </is>
      </c>
      <c r="C3" s="3" t="inlineStr">
        <is>
          <t>Nước ép trái cây chai 500ml</t>
        </is>
      </c>
      <c r="D3" s="3" t="inlineStr">
        <is>
          <t>Chai</t>
        </is>
      </c>
      <c r="E3" s="2" t="n">
        <v>30000</v>
      </c>
      <c r="F3" s="4" t="n">
        <v>5000000</v>
      </c>
      <c r="G3" s="4" t="n">
        <v>240000000</v>
      </c>
      <c r="H3" s="4" t="n">
        <v>60000000</v>
      </c>
      <c r="I3" s="4" t="n">
        <v>45000000</v>
      </c>
      <c r="J3" s="4" t="n">
        <v>10000000</v>
      </c>
      <c r="K3" s="4" t="n">
        <v>12000</v>
      </c>
      <c r="L3" s="5">
        <f>IF(C3="","",SUM(G3:I3))</f>
        <v/>
      </c>
      <c r="M3" s="5">
        <f>IF(C3="","",F3+L3-J3)</f>
        <v/>
      </c>
      <c r="N3" s="5">
        <f>IF(C3="","",IFERROR(ROUND(M3/E3,0),0))</f>
        <v/>
      </c>
      <c r="O3" s="6">
        <f>IF(C3="","",IFERROR(G3/L3,0))</f>
        <v/>
      </c>
      <c r="P3" s="5">
        <f>IF(C3="","",K3-N3)</f>
        <v/>
      </c>
      <c r="Q3" s="6">
        <f>IF(C3="","",IFERROR(P3/K3,0))</f>
        <v/>
      </c>
      <c r="R3" s="7">
        <f>IF(C3="","",IF(K3&lt;=0,"Chưa nhập giá bán",IF(P3&lt;0,"Bán dưới giá thành",IF(Q3&lt;0.1,"Lãi gộp mỏng dưới 10%","Bình thường"))))</f>
        <v/>
      </c>
    </row>
    <row r="4">
      <c r="A4" s="2" t="n">
        <v>3</v>
      </c>
      <c r="B4" s="3" t="inlineStr">
        <is>
          <t>SP003</t>
        </is>
      </c>
      <c r="C4" s="3" t="inlineStr">
        <is>
          <t>Áo thun cotton in logo</t>
        </is>
      </c>
      <c r="D4" s="3" t="inlineStr">
        <is>
          <t>Cái</t>
        </is>
      </c>
      <c r="E4" s="2" t="n">
        <v>5000</v>
      </c>
      <c r="F4" s="4" t="n">
        <v>20000000</v>
      </c>
      <c r="G4" s="4" t="n">
        <v>260000000</v>
      </c>
      <c r="H4" s="4" t="n">
        <v>85000000</v>
      </c>
      <c r="I4" s="4" t="n">
        <v>40000000</v>
      </c>
      <c r="J4" s="4" t="n">
        <v>15000000</v>
      </c>
      <c r="K4" s="4" t="n">
        <v>95000</v>
      </c>
      <c r="L4" s="5">
        <f>IF(C4="","",SUM(G4:I4))</f>
        <v/>
      </c>
      <c r="M4" s="5">
        <f>IF(C4="","",F4+L4-J4)</f>
        <v/>
      </c>
      <c r="N4" s="5">
        <f>IF(C4="","",IFERROR(ROUND(M4/E4,0),0))</f>
        <v/>
      </c>
      <c r="O4" s="6">
        <f>IF(C4="","",IFERROR(G4/L4,0))</f>
        <v/>
      </c>
      <c r="P4" s="5">
        <f>IF(C4="","",K4-N4)</f>
        <v/>
      </c>
      <c r="Q4" s="6">
        <f>IF(C4="","",IFERROR(P4/K4,0))</f>
        <v/>
      </c>
      <c r="R4" s="7">
        <f>IF(C4="","",IF(K4&lt;=0,"Chưa nhập giá bán",IF(P4&lt;0,"Bán dưới giá thành",IF(Q4&lt;0.1,"Lãi gộp mỏng dưới 10%","Bình thường"))))</f>
        <v/>
      </c>
    </row>
    <row r="5">
      <c r="A5" s="2" t="n">
        <v>4</v>
      </c>
      <c r="B5" s="3" t="inlineStr">
        <is>
          <t>SP004</t>
        </is>
      </c>
      <c r="C5" s="3" t="inlineStr">
        <is>
          <t>Ghế gỗ văn phòng có tựa</t>
        </is>
      </c>
      <c r="D5" s="3" t="inlineStr">
        <is>
          <t>Chiếc</t>
        </is>
      </c>
      <c r="E5" s="2" t="n">
        <v>400</v>
      </c>
      <c r="F5" s="4" t="n">
        <v>30000000</v>
      </c>
      <c r="G5" s="4" t="n">
        <v>180000000</v>
      </c>
      <c r="H5" s="4" t="n">
        <v>60000000</v>
      </c>
      <c r="I5" s="4" t="n">
        <v>34000000</v>
      </c>
      <c r="J5" s="4" t="n">
        <v>24000000</v>
      </c>
      <c r="K5" s="4" t="n">
        <v>600000</v>
      </c>
      <c r="L5" s="5">
        <f>IF(C5="","",SUM(G5:I5))</f>
        <v/>
      </c>
      <c r="M5" s="5">
        <f>IF(C5="","",F5+L5-J5)</f>
        <v/>
      </c>
      <c r="N5" s="5">
        <f>IF(C5="","",IFERROR(ROUND(M5/E5,0),0))</f>
        <v/>
      </c>
      <c r="O5" s="6">
        <f>IF(C5="","",IFERROR(G5/L5,0))</f>
        <v/>
      </c>
      <c r="P5" s="5">
        <f>IF(C5="","",K5-N5)</f>
        <v/>
      </c>
      <c r="Q5" s="6">
        <f>IF(C5="","",IFERROR(P5/K5,0))</f>
        <v/>
      </c>
      <c r="R5" s="7">
        <f>IF(C5="","",IF(K5&lt;=0,"Chưa nhập giá bán",IF(P5&lt;0,"Bán dưới giá thành",IF(Q5&lt;0.1,"Lãi gộp mỏng dưới 10%","Bình thường"))))</f>
        <v/>
      </c>
    </row>
    <row r="6">
      <c r="A6" s="2" t="n">
        <v>5</v>
      </c>
      <c r="B6" s="3" t="inlineStr">
        <is>
          <t>SP005</t>
        </is>
      </c>
      <c r="C6" s="3" t="inlineStr">
        <is>
          <t>Thùng carton in offset 3 lớp</t>
        </is>
      </c>
      <c r="D6" s="3" t="inlineStr">
        <is>
          <t>Cái</t>
        </is>
      </c>
      <c r="E6" s="2" t="n">
        <v>50000</v>
      </c>
      <c r="F6" s="4" t="n">
        <v>0</v>
      </c>
      <c r="G6" s="4" t="n">
        <v>300000000</v>
      </c>
      <c r="H6" s="4" t="n">
        <v>55000000</v>
      </c>
      <c r="I6" s="4" t="n">
        <v>48000000</v>
      </c>
      <c r="J6" s="4" t="n">
        <v>18000000</v>
      </c>
      <c r="K6" s="4" t="n">
        <v>9500</v>
      </c>
      <c r="L6" s="5">
        <f>IF(C6="","",SUM(G6:I6))</f>
        <v/>
      </c>
      <c r="M6" s="5">
        <f>IF(C6="","",F6+L6-J6)</f>
        <v/>
      </c>
      <c r="N6" s="5">
        <f>IF(C6="","",IFERROR(ROUND(M6/E6,0),0))</f>
        <v/>
      </c>
      <c r="O6" s="6">
        <f>IF(C6="","",IFERROR(G6/L6,0))</f>
        <v/>
      </c>
      <c r="P6" s="5">
        <f>IF(C6="","",K6-N6)</f>
        <v/>
      </c>
      <c r="Q6" s="6">
        <f>IF(C6="","",IFERROR(P6/K6,0))</f>
        <v/>
      </c>
      <c r="R6" s="7">
        <f>IF(C6="","",IF(K6&lt;=0,"Chưa nhập giá bán",IF(P6&lt;0,"Bán dưới giá thành",IF(Q6&lt;0.1,"Lãi gộp mỏng dưới 10%","Bình thường"))))</f>
        <v/>
      </c>
    </row>
    <row r="7">
      <c r="A7" s="2" t="n">
        <v>6</v>
      </c>
      <c r="B7" s="3" t="inlineStr">
        <is>
          <t>SP006</t>
        </is>
      </c>
      <c r="C7" s="3" t="inlineStr">
        <is>
          <t>Bộ dụng cụ nhà bếp inox 5 món</t>
        </is>
      </c>
      <c r="D7" s="3" t="inlineStr">
        <is>
          <t>Bộ</t>
        </is>
      </c>
      <c r="E7" s="2" t="n">
        <v>2000</v>
      </c>
      <c r="F7" s="4" t="n">
        <v>12000000</v>
      </c>
      <c r="G7" s="4" t="n">
        <v>210000000</v>
      </c>
      <c r="H7" s="4" t="n">
        <v>48000000</v>
      </c>
      <c r="I7" s="4" t="n">
        <v>38000000</v>
      </c>
      <c r="J7" s="4" t="n">
        <v>20000000</v>
      </c>
      <c r="K7" s="4" t="n">
        <v>0</v>
      </c>
      <c r="L7" s="5">
        <f>IF(C7="","",SUM(G7:I7))</f>
        <v/>
      </c>
      <c r="M7" s="5">
        <f>IF(C7="","",F7+L7-J7)</f>
        <v/>
      </c>
      <c r="N7" s="5">
        <f>IF(C7="","",IFERROR(ROUND(M7/E7,0),0))</f>
        <v/>
      </c>
      <c r="O7" s="6">
        <f>IF(C7="","",IFERROR(G7/L7,0))</f>
        <v/>
      </c>
      <c r="P7" s="5">
        <f>IF(C7="","",K7-N7)</f>
        <v/>
      </c>
      <c r="Q7" s="6">
        <f>IF(C7="","",IFERROR(P7/K7,0))</f>
        <v/>
      </c>
      <c r="R7" s="7">
        <f>IF(C7="","",IF(K7&lt;=0,"Chưa nhập giá bán",IF(P7&lt;0,"Bán dưới giá thành",IF(Q7&lt;0.1,"Lãi gộp mỏng dưới 10%","Bình thường"))))</f>
        <v/>
      </c>
    </row>
    <row r="8">
      <c r="A8" s="2" t="n"/>
      <c r="B8" s="3" t="n"/>
      <c r="C8" s="3" t="n"/>
      <c r="D8" s="3" t="n"/>
      <c r="E8" s="2" t="n"/>
      <c r="F8" s="4" t="n"/>
      <c r="G8" s="4" t="n"/>
      <c r="H8" s="4" t="n"/>
      <c r="I8" s="4" t="n"/>
      <c r="J8" s="4" t="n"/>
      <c r="K8" s="4" t="n"/>
      <c r="L8" s="5">
        <f>IF(C8="","",SUM(G8:I8))</f>
        <v/>
      </c>
      <c r="M8" s="5">
        <f>IF(C8="","",F8+L8-J8)</f>
        <v/>
      </c>
      <c r="N8" s="5">
        <f>IF(C8="","",IFERROR(ROUND(M8/E8,0),0))</f>
        <v/>
      </c>
      <c r="O8" s="6">
        <f>IF(C8="","",IFERROR(G8/L8,0))</f>
        <v/>
      </c>
      <c r="P8" s="5">
        <f>IF(C8="","",K8-N8)</f>
        <v/>
      </c>
      <c r="Q8" s="6">
        <f>IF(C8="","",IFERROR(P8/K8,0))</f>
        <v/>
      </c>
      <c r="R8" s="7">
        <f>IF(C8="","",IF(K8&lt;=0,"Chưa nhập giá bán",IF(P8&lt;0,"Bán dưới giá thành",IF(Q8&lt;0.1,"Lãi gộp mỏng dưới 10%","Bình thường"))))</f>
        <v/>
      </c>
    </row>
    <row r="9">
      <c r="A9" s="2" t="n"/>
      <c r="B9" s="3" t="n"/>
      <c r="C9" s="3" t="n"/>
      <c r="D9" s="3" t="n"/>
      <c r="E9" s="2" t="n"/>
      <c r="F9" s="4" t="n"/>
      <c r="G9" s="4" t="n"/>
      <c r="H9" s="4" t="n"/>
      <c r="I9" s="4" t="n"/>
      <c r="J9" s="4" t="n"/>
      <c r="K9" s="4" t="n"/>
      <c r="L9" s="5">
        <f>IF(C9="","",SUM(G9:I9))</f>
        <v/>
      </c>
      <c r="M9" s="5">
        <f>IF(C9="","",F9+L9-J9)</f>
        <v/>
      </c>
      <c r="N9" s="5">
        <f>IF(C9="","",IFERROR(ROUND(M9/E9,0),0))</f>
        <v/>
      </c>
      <c r="O9" s="6">
        <f>IF(C9="","",IFERROR(G9/L9,0))</f>
        <v/>
      </c>
      <c r="P9" s="5">
        <f>IF(C9="","",K9-N9)</f>
        <v/>
      </c>
      <c r="Q9" s="6">
        <f>IF(C9="","",IFERROR(P9/K9,0))</f>
        <v/>
      </c>
      <c r="R9" s="7">
        <f>IF(C9="","",IF(K9&lt;=0,"Chưa nhập giá bán",IF(P9&lt;0,"Bán dưới giá thành",IF(Q9&lt;0.1,"Lãi gộp mỏng dưới 10%","Bình thường"))))</f>
        <v/>
      </c>
    </row>
    <row r="10">
      <c r="A10" s="2" t="n"/>
      <c r="B10" s="3" t="n"/>
      <c r="C10" s="3" t="n"/>
      <c r="D10" s="3" t="n"/>
      <c r="E10" s="2" t="n"/>
      <c r="F10" s="4" t="n"/>
      <c r="G10" s="4" t="n"/>
      <c r="H10" s="4" t="n"/>
      <c r="I10" s="4" t="n"/>
      <c r="J10" s="4" t="n"/>
      <c r="K10" s="4" t="n"/>
      <c r="L10" s="5">
        <f>IF(C10="","",SUM(G10:I10))</f>
        <v/>
      </c>
      <c r="M10" s="5">
        <f>IF(C10="","",F10+L10-J10)</f>
        <v/>
      </c>
      <c r="N10" s="5">
        <f>IF(C10="","",IFERROR(ROUND(M10/E10,0),0))</f>
        <v/>
      </c>
      <c r="O10" s="6">
        <f>IF(C10="","",IFERROR(G10/L10,0))</f>
        <v/>
      </c>
      <c r="P10" s="5">
        <f>IF(C10="","",K10-N10)</f>
        <v/>
      </c>
      <c r="Q10" s="6">
        <f>IF(C10="","",IFERROR(P10/K10,0))</f>
        <v/>
      </c>
      <c r="R10" s="7">
        <f>IF(C10="","",IF(K10&lt;=0,"Chưa nhập giá bán",IF(P10&lt;0,"Bán dưới giá thành",IF(Q10&lt;0.1,"Lãi gộp mỏng dưới 10%","Bình thường"))))</f>
        <v/>
      </c>
    </row>
    <row r="11">
      <c r="A11" s="2" t="n"/>
      <c r="B11" s="3" t="n"/>
      <c r="C11" s="3" t="n"/>
      <c r="D11" s="3" t="n"/>
      <c r="E11" s="2" t="n"/>
      <c r="F11" s="4" t="n"/>
      <c r="G11" s="4" t="n"/>
      <c r="H11" s="4" t="n"/>
      <c r="I11" s="4" t="n"/>
      <c r="J11" s="4" t="n"/>
      <c r="K11" s="4" t="n"/>
      <c r="L11" s="5">
        <f>IF(C11="","",SUM(G11:I11))</f>
        <v/>
      </c>
      <c r="M11" s="5">
        <f>IF(C11="","",F11+L11-J11)</f>
        <v/>
      </c>
      <c r="N11" s="5">
        <f>IF(C11="","",IFERROR(ROUND(M11/E11,0),0))</f>
        <v/>
      </c>
      <c r="O11" s="6">
        <f>IF(C11="","",IFERROR(G11/L11,0))</f>
        <v/>
      </c>
      <c r="P11" s="5">
        <f>IF(C11="","",K11-N11)</f>
        <v/>
      </c>
      <c r="Q11" s="6">
        <f>IF(C11="","",IFERROR(P11/K11,0))</f>
        <v/>
      </c>
      <c r="R11" s="7">
        <f>IF(C11="","",IF(K11&lt;=0,"Chưa nhập giá bán",IF(P11&lt;0,"Bán dưới giá thành",IF(Q11&lt;0.1,"Lãi gộp mỏng dưới 10%","Bình thường"))))</f>
        <v/>
      </c>
    </row>
    <row r="12">
      <c r="A12" s="2" t="n"/>
      <c r="B12" s="3" t="n"/>
      <c r="C12" s="3" t="n"/>
      <c r="D12" s="3" t="n"/>
      <c r="E12" s="2" t="n"/>
      <c r="F12" s="4" t="n"/>
      <c r="G12" s="4" t="n"/>
      <c r="H12" s="4" t="n"/>
      <c r="I12" s="4" t="n"/>
      <c r="J12" s="4" t="n"/>
      <c r="K12" s="4" t="n"/>
      <c r="L12" s="5">
        <f>IF(C12="","",SUM(G12:I12))</f>
        <v/>
      </c>
      <c r="M12" s="5">
        <f>IF(C12="","",F12+L12-J12)</f>
        <v/>
      </c>
      <c r="N12" s="5">
        <f>IF(C12="","",IFERROR(ROUND(M12/E12,0),0))</f>
        <v/>
      </c>
      <c r="O12" s="6">
        <f>IF(C12="","",IFERROR(G12/L12,0))</f>
        <v/>
      </c>
      <c r="P12" s="5">
        <f>IF(C12="","",K12-N12)</f>
        <v/>
      </c>
      <c r="Q12" s="6">
        <f>IF(C12="","",IFERROR(P12/K12,0))</f>
        <v/>
      </c>
      <c r="R12" s="7">
        <f>IF(C12="","",IF(K12&lt;=0,"Chưa nhập giá bán",IF(P12&lt;0,"Bán dưới giá thành",IF(Q12&lt;0.1,"Lãi gộp mỏng dưới 10%","Bình thường"))))</f>
        <v/>
      </c>
    </row>
    <row r="13">
      <c r="A13" s="2" t="n"/>
      <c r="B13" s="3" t="n"/>
      <c r="C13" s="3" t="n"/>
      <c r="D13" s="3" t="n"/>
      <c r="E13" s="2" t="n"/>
      <c r="F13" s="4" t="n"/>
      <c r="G13" s="4" t="n"/>
      <c r="H13" s="4" t="n"/>
      <c r="I13" s="4" t="n"/>
      <c r="J13" s="4" t="n"/>
      <c r="K13" s="4" t="n"/>
      <c r="L13" s="5">
        <f>IF(C13="","",SUM(G13:I13))</f>
        <v/>
      </c>
      <c r="M13" s="5">
        <f>IF(C13="","",F13+L13-J13)</f>
        <v/>
      </c>
      <c r="N13" s="5">
        <f>IF(C13="","",IFERROR(ROUND(M13/E13,0),0))</f>
        <v/>
      </c>
      <c r="O13" s="6">
        <f>IF(C13="","",IFERROR(G13/L13,0))</f>
        <v/>
      </c>
      <c r="P13" s="5">
        <f>IF(C13="","",K13-N13)</f>
        <v/>
      </c>
      <c r="Q13" s="6">
        <f>IF(C13="","",IFERROR(P13/K13,0))</f>
        <v/>
      </c>
      <c r="R13" s="7">
        <f>IF(C13="","",IF(K13&lt;=0,"Chưa nhập giá bán",IF(P13&lt;0,"Bán dưới giá thành",IF(Q13&lt;0.1,"Lãi gộp mỏng dưới 10%","Bình thường"))))</f>
        <v/>
      </c>
    </row>
    <row r="14">
      <c r="A14" s="2" t="n"/>
      <c r="B14" s="3" t="n"/>
      <c r="C14" s="3" t="n"/>
      <c r="D14" s="3" t="n"/>
      <c r="E14" s="2" t="n"/>
      <c r="F14" s="4" t="n"/>
      <c r="G14" s="4" t="n"/>
      <c r="H14" s="4" t="n"/>
      <c r="I14" s="4" t="n"/>
      <c r="J14" s="4" t="n"/>
      <c r="K14" s="4" t="n"/>
      <c r="L14" s="5">
        <f>IF(C14="","",SUM(G14:I14))</f>
        <v/>
      </c>
      <c r="M14" s="5">
        <f>IF(C14="","",F14+L14-J14)</f>
        <v/>
      </c>
      <c r="N14" s="5">
        <f>IF(C14="","",IFERROR(ROUND(M14/E14,0),0))</f>
        <v/>
      </c>
      <c r="O14" s="6">
        <f>IF(C14="","",IFERROR(G14/L14,0))</f>
        <v/>
      </c>
      <c r="P14" s="5">
        <f>IF(C14="","",K14-N14)</f>
        <v/>
      </c>
      <c r="Q14" s="6">
        <f>IF(C14="","",IFERROR(P14/K14,0))</f>
        <v/>
      </c>
      <c r="R14" s="7">
        <f>IF(C14="","",IF(K14&lt;=0,"Chưa nhập giá bán",IF(P14&lt;0,"Bán dưới giá thành",IF(Q14&lt;0.1,"Lãi gộp mỏng dưới 10%","Bình thường"))))</f>
        <v/>
      </c>
    </row>
    <row r="15">
      <c r="A15" s="2" t="n"/>
      <c r="B15" s="3" t="n"/>
      <c r="C15" s="3" t="n"/>
      <c r="D15" s="3" t="n"/>
      <c r="E15" s="2" t="n"/>
      <c r="F15" s="4" t="n"/>
      <c r="G15" s="4" t="n"/>
      <c r="H15" s="4" t="n"/>
      <c r="I15" s="4" t="n"/>
      <c r="J15" s="4" t="n"/>
      <c r="K15" s="4" t="n"/>
      <c r="L15" s="5">
        <f>IF(C15="","",SUM(G15:I15))</f>
        <v/>
      </c>
      <c r="M15" s="5">
        <f>IF(C15="","",F15+L15-J15)</f>
        <v/>
      </c>
      <c r="N15" s="5">
        <f>IF(C15="","",IFERROR(ROUND(M15/E15,0),0))</f>
        <v/>
      </c>
      <c r="O15" s="6">
        <f>IF(C15="","",IFERROR(G15/L15,0))</f>
        <v/>
      </c>
      <c r="P15" s="5">
        <f>IF(C15="","",K15-N15)</f>
        <v/>
      </c>
      <c r="Q15" s="6">
        <f>IF(C15="","",IFERROR(P15/K15,0))</f>
        <v/>
      </c>
      <c r="R15" s="7">
        <f>IF(C15="","",IF(K15&lt;=0,"Chưa nhập giá bán",IF(P15&lt;0,"Bán dưới giá thành",IF(Q15&lt;0.1,"Lãi gộp mỏng dưới 10%","Bình thường"))))</f>
        <v/>
      </c>
    </row>
    <row r="16">
      <c r="A16" s="2" t="n"/>
      <c r="B16" s="3" t="n"/>
      <c r="C16" s="3" t="n"/>
      <c r="D16" s="3" t="n"/>
      <c r="E16" s="2" t="n"/>
      <c r="F16" s="4" t="n"/>
      <c r="G16" s="4" t="n"/>
      <c r="H16" s="4" t="n"/>
      <c r="I16" s="4" t="n"/>
      <c r="J16" s="4" t="n"/>
      <c r="K16" s="4" t="n"/>
      <c r="L16" s="5">
        <f>IF(C16="","",SUM(G16:I16))</f>
        <v/>
      </c>
      <c r="M16" s="5">
        <f>IF(C16="","",F16+L16-J16)</f>
        <v/>
      </c>
      <c r="N16" s="5">
        <f>IF(C16="","",IFERROR(ROUND(M16/E16,0),0))</f>
        <v/>
      </c>
      <c r="O16" s="6">
        <f>IF(C16="","",IFERROR(G16/L16,0))</f>
        <v/>
      </c>
      <c r="P16" s="5">
        <f>IF(C16="","",K16-N16)</f>
        <v/>
      </c>
      <c r="Q16" s="6">
        <f>IF(C16="","",IFERROR(P16/K16,0))</f>
        <v/>
      </c>
      <c r="R16" s="7">
        <f>IF(C16="","",IF(K16&lt;=0,"Chưa nhập giá bán",IF(P16&lt;0,"Bán dưới giá thành",IF(Q16&lt;0.1,"Lãi gộp mỏng dưới 10%","Bình thường"))))</f>
        <v/>
      </c>
    </row>
    <row r="17">
      <c r="A17" s="2" t="n"/>
      <c r="B17" s="3" t="n"/>
      <c r="C17" s="3" t="n"/>
      <c r="D17" s="3" t="n"/>
      <c r="E17" s="2" t="n"/>
      <c r="F17" s="4" t="n"/>
      <c r="G17" s="4" t="n"/>
      <c r="H17" s="4" t="n"/>
      <c r="I17" s="4" t="n"/>
      <c r="J17" s="4" t="n"/>
      <c r="K17" s="4" t="n"/>
      <c r="L17" s="5">
        <f>IF(C17="","",SUM(G17:I17))</f>
        <v/>
      </c>
      <c r="M17" s="5">
        <f>IF(C17="","",F17+L17-J17)</f>
        <v/>
      </c>
      <c r="N17" s="5">
        <f>IF(C17="","",IFERROR(ROUND(M17/E17,0),0))</f>
        <v/>
      </c>
      <c r="O17" s="6">
        <f>IF(C17="","",IFERROR(G17/L17,0))</f>
        <v/>
      </c>
      <c r="P17" s="5">
        <f>IF(C17="","",K17-N17)</f>
        <v/>
      </c>
      <c r="Q17" s="6">
        <f>IF(C17="","",IFERROR(P17/K17,0))</f>
        <v/>
      </c>
      <c r="R17" s="7">
        <f>IF(C17="","",IF(K17&lt;=0,"Chưa nhập giá bán",IF(P17&lt;0,"Bán dưới giá thành",IF(Q17&lt;0.1,"Lãi gộp mỏng dưới 10%","Bình thường"))))</f>
        <v/>
      </c>
    </row>
    <row r="18">
      <c r="A18" s="2" t="n"/>
      <c r="B18" s="3" t="n"/>
      <c r="C18" s="3" t="n"/>
      <c r="D18" s="3" t="n"/>
      <c r="E18" s="2" t="n"/>
      <c r="F18" s="4" t="n"/>
      <c r="G18" s="4" t="n"/>
      <c r="H18" s="4" t="n"/>
      <c r="I18" s="4" t="n"/>
      <c r="J18" s="4" t="n"/>
      <c r="K18" s="4" t="n"/>
      <c r="L18" s="5">
        <f>IF(C18="","",SUM(G18:I18))</f>
        <v/>
      </c>
      <c r="M18" s="5">
        <f>IF(C18="","",F18+L18-J18)</f>
        <v/>
      </c>
      <c r="N18" s="5">
        <f>IF(C18="","",IFERROR(ROUND(M18/E18,0),0))</f>
        <v/>
      </c>
      <c r="O18" s="6">
        <f>IF(C18="","",IFERROR(G18/L18,0))</f>
        <v/>
      </c>
      <c r="P18" s="5">
        <f>IF(C18="","",K18-N18)</f>
        <v/>
      </c>
      <c r="Q18" s="6">
        <f>IF(C18="","",IFERROR(P18/K18,0))</f>
        <v/>
      </c>
      <c r="R18" s="7">
        <f>IF(C18="","",IF(K18&lt;=0,"Chưa nhập giá bán",IF(P18&lt;0,"Bán dưới giá thành",IF(Q18&lt;0.1,"Lãi gộp mỏng dưới 10%","Bình thường"))))</f>
        <v/>
      </c>
    </row>
    <row r="19">
      <c r="A19" s="2" t="n"/>
      <c r="B19" s="3" t="n"/>
      <c r="C19" s="3" t="n"/>
      <c r="D19" s="3" t="n"/>
      <c r="E19" s="2" t="n"/>
      <c r="F19" s="4" t="n"/>
      <c r="G19" s="4" t="n"/>
      <c r="H19" s="4" t="n"/>
      <c r="I19" s="4" t="n"/>
      <c r="J19" s="4" t="n"/>
      <c r="K19" s="4" t="n"/>
      <c r="L19" s="5">
        <f>IF(C19="","",SUM(G19:I19))</f>
        <v/>
      </c>
      <c r="M19" s="5">
        <f>IF(C19="","",F19+L19-J19)</f>
        <v/>
      </c>
      <c r="N19" s="5">
        <f>IF(C19="","",IFERROR(ROUND(M19/E19,0),0))</f>
        <v/>
      </c>
      <c r="O19" s="6">
        <f>IF(C19="","",IFERROR(G19/L19,0))</f>
        <v/>
      </c>
      <c r="P19" s="5">
        <f>IF(C19="","",K19-N19)</f>
        <v/>
      </c>
      <c r="Q19" s="6">
        <f>IF(C19="","",IFERROR(P19/K19,0))</f>
        <v/>
      </c>
      <c r="R19" s="7">
        <f>IF(C19="","",IF(K19&lt;=0,"Chưa nhập giá bán",IF(P19&lt;0,"Bán dưới giá thành",IF(Q19&lt;0.1,"Lãi gộp mỏng dưới 10%","Bình thường"))))</f>
        <v/>
      </c>
    </row>
    <row r="20">
      <c r="A20" s="2" t="n"/>
      <c r="B20" s="3" t="n"/>
      <c r="C20" s="3" t="n"/>
      <c r="D20" s="3" t="n"/>
      <c r="E20" s="2" t="n"/>
      <c r="F20" s="4" t="n"/>
      <c r="G20" s="4" t="n"/>
      <c r="H20" s="4" t="n"/>
      <c r="I20" s="4" t="n"/>
      <c r="J20" s="4" t="n"/>
      <c r="K20" s="4" t="n"/>
      <c r="L20" s="5">
        <f>IF(C20="","",SUM(G20:I20))</f>
        <v/>
      </c>
      <c r="M20" s="5">
        <f>IF(C20="","",F20+L20-J20)</f>
        <v/>
      </c>
      <c r="N20" s="5">
        <f>IF(C20="","",IFERROR(ROUND(M20/E20,0),0))</f>
        <v/>
      </c>
      <c r="O20" s="6">
        <f>IF(C20="","",IFERROR(G20/L20,0))</f>
        <v/>
      </c>
      <c r="P20" s="5">
        <f>IF(C20="","",K20-N20)</f>
        <v/>
      </c>
      <c r="Q20" s="6">
        <f>IF(C20="","",IFERROR(P20/K20,0))</f>
        <v/>
      </c>
      <c r="R20" s="7">
        <f>IF(C20="","",IF(K20&lt;=0,"Chưa nhập giá bán",IF(P20&lt;0,"Bán dưới giá thành",IF(Q20&lt;0.1,"Lãi gộp mỏng dưới 10%","Bình thường"))))</f>
        <v/>
      </c>
    </row>
    <row r="21">
      <c r="A21" s="2" t="n"/>
      <c r="B21" s="3" t="n"/>
      <c r="C21" s="3" t="n"/>
      <c r="D21" s="3" t="n"/>
      <c r="E21" s="2" t="n"/>
      <c r="F21" s="4" t="n"/>
      <c r="G21" s="4" t="n"/>
      <c r="H21" s="4" t="n"/>
      <c r="I21" s="4" t="n"/>
      <c r="J21" s="4" t="n"/>
      <c r="K21" s="4" t="n"/>
      <c r="L21" s="5">
        <f>IF(C21="","",SUM(G21:I21))</f>
        <v/>
      </c>
      <c r="M21" s="5">
        <f>IF(C21="","",F21+L21-J21)</f>
        <v/>
      </c>
      <c r="N21" s="5">
        <f>IF(C21="","",IFERROR(ROUND(M21/E21,0),0))</f>
        <v/>
      </c>
      <c r="O21" s="6">
        <f>IF(C21="","",IFERROR(G21/L21,0))</f>
        <v/>
      </c>
      <c r="P21" s="5">
        <f>IF(C21="","",K21-N21)</f>
        <v/>
      </c>
      <c r="Q21" s="6">
        <f>IF(C21="","",IFERROR(P21/K21,0))</f>
        <v/>
      </c>
      <c r="R21" s="7">
        <f>IF(C21="","",IF(K21&lt;=0,"Chưa nhập giá bán",IF(P21&lt;0,"Bán dưới giá thành",IF(Q21&lt;0.1,"Lãi gộp mỏng dưới 10%","Bình thường"))))</f>
        <v/>
      </c>
    </row>
    <row r="22">
      <c r="A22" s="2" t="n"/>
      <c r="B22" s="3" t="n"/>
      <c r="C22" s="3" t="n"/>
      <c r="D22" s="3" t="n"/>
      <c r="E22" s="2" t="n"/>
      <c r="F22" s="4" t="n"/>
      <c r="G22" s="4" t="n"/>
      <c r="H22" s="4" t="n"/>
      <c r="I22" s="4" t="n"/>
      <c r="J22" s="4" t="n"/>
      <c r="K22" s="4" t="n"/>
      <c r="L22" s="5">
        <f>IF(C22="","",SUM(G22:I22))</f>
        <v/>
      </c>
      <c r="M22" s="5">
        <f>IF(C22="","",F22+L22-J22)</f>
        <v/>
      </c>
      <c r="N22" s="5">
        <f>IF(C22="","",IFERROR(ROUND(M22/E22,0),0))</f>
        <v/>
      </c>
      <c r="O22" s="6">
        <f>IF(C22="","",IFERROR(G22/L22,0))</f>
        <v/>
      </c>
      <c r="P22" s="5">
        <f>IF(C22="","",K22-N22)</f>
        <v/>
      </c>
      <c r="Q22" s="6">
        <f>IF(C22="","",IFERROR(P22/K22,0))</f>
        <v/>
      </c>
      <c r="R22" s="7">
        <f>IF(C22="","",IF(K22&lt;=0,"Chưa nhập giá bán",IF(P22&lt;0,"Bán dưới giá thành",IF(Q22&lt;0.1,"Lãi gộp mỏng dưới 10%","Bình thường"))))</f>
        <v/>
      </c>
    </row>
    <row r="23">
      <c r="A23" s="2" t="n"/>
      <c r="B23" s="3" t="n"/>
      <c r="C23" s="3" t="n"/>
      <c r="D23" s="3" t="n"/>
      <c r="E23" s="2" t="n"/>
      <c r="F23" s="4" t="n"/>
      <c r="G23" s="4" t="n"/>
      <c r="H23" s="4" t="n"/>
      <c r="I23" s="4" t="n"/>
      <c r="J23" s="4" t="n"/>
      <c r="K23" s="4" t="n"/>
      <c r="L23" s="5">
        <f>IF(C23="","",SUM(G23:I23))</f>
        <v/>
      </c>
      <c r="M23" s="5">
        <f>IF(C23="","",F23+L23-J23)</f>
        <v/>
      </c>
      <c r="N23" s="5">
        <f>IF(C23="","",IFERROR(ROUND(M23/E23,0),0))</f>
        <v/>
      </c>
      <c r="O23" s="6">
        <f>IF(C23="","",IFERROR(G23/L23,0))</f>
        <v/>
      </c>
      <c r="P23" s="5">
        <f>IF(C23="","",K23-N23)</f>
        <v/>
      </c>
      <c r="Q23" s="6">
        <f>IF(C23="","",IFERROR(P23/K23,0))</f>
        <v/>
      </c>
      <c r="R23" s="7">
        <f>IF(C23="","",IF(K23&lt;=0,"Chưa nhập giá bán",IF(P23&lt;0,"Bán dưới giá thành",IF(Q23&lt;0.1,"Lãi gộp mỏng dưới 10%","Bình thường"))))</f>
        <v/>
      </c>
    </row>
    <row r="24">
      <c r="A24" s="2" t="n"/>
      <c r="B24" s="3" t="n"/>
      <c r="C24" s="3" t="n"/>
      <c r="D24" s="3" t="n"/>
      <c r="E24" s="2" t="n"/>
      <c r="F24" s="4" t="n"/>
      <c r="G24" s="4" t="n"/>
      <c r="H24" s="4" t="n"/>
      <c r="I24" s="4" t="n"/>
      <c r="J24" s="4" t="n"/>
      <c r="K24" s="4" t="n"/>
      <c r="L24" s="5">
        <f>IF(C24="","",SUM(G24:I24))</f>
        <v/>
      </c>
      <c r="M24" s="5">
        <f>IF(C24="","",F24+L24-J24)</f>
        <v/>
      </c>
      <c r="N24" s="5">
        <f>IF(C24="","",IFERROR(ROUND(M24/E24,0),0))</f>
        <v/>
      </c>
      <c r="O24" s="6">
        <f>IF(C24="","",IFERROR(G24/L24,0))</f>
        <v/>
      </c>
      <c r="P24" s="5">
        <f>IF(C24="","",K24-N24)</f>
        <v/>
      </c>
      <c r="Q24" s="6">
        <f>IF(C24="","",IFERROR(P24/K24,0))</f>
        <v/>
      </c>
      <c r="R24" s="7">
        <f>IF(C24="","",IF(K24&lt;=0,"Chưa nhập giá bán",IF(P24&lt;0,"Bán dưới giá thành",IF(Q24&lt;0.1,"Lãi gộp mỏng dưới 10%","Bình thường"))))</f>
        <v/>
      </c>
    </row>
    <row r="25">
      <c r="A25" s="2" t="n"/>
      <c r="B25" s="3" t="n"/>
      <c r="C25" s="3" t="n"/>
      <c r="D25" s="3" t="n"/>
      <c r="E25" s="2" t="n"/>
      <c r="F25" s="4" t="n"/>
      <c r="G25" s="4" t="n"/>
      <c r="H25" s="4" t="n"/>
      <c r="I25" s="4" t="n"/>
      <c r="J25" s="4" t="n"/>
      <c r="K25" s="4" t="n"/>
      <c r="L25" s="5">
        <f>IF(C25="","",SUM(G25:I25))</f>
        <v/>
      </c>
      <c r="M25" s="5">
        <f>IF(C25="","",F25+L25-J25)</f>
        <v/>
      </c>
      <c r="N25" s="5">
        <f>IF(C25="","",IFERROR(ROUND(M25/E25,0),0))</f>
        <v/>
      </c>
      <c r="O25" s="6">
        <f>IF(C25="","",IFERROR(G25/L25,0))</f>
        <v/>
      </c>
      <c r="P25" s="5">
        <f>IF(C25="","",K25-N25)</f>
        <v/>
      </c>
      <c r="Q25" s="6">
        <f>IF(C25="","",IFERROR(P25/K25,0))</f>
        <v/>
      </c>
      <c r="R25" s="7">
        <f>IF(C25="","",IF(K25&lt;=0,"Chưa nhập giá bán",IF(P25&lt;0,"Bán dưới giá thành",IF(Q25&lt;0.1,"Lãi gộp mỏng dưới 10%","Bình thường"))))</f>
        <v/>
      </c>
    </row>
    <row r="26">
      <c r="A26" s="2" t="n"/>
      <c r="B26" s="3" t="n"/>
      <c r="C26" s="3" t="n"/>
      <c r="D26" s="3" t="n"/>
      <c r="E26" s="2" t="n"/>
      <c r="F26" s="4" t="n"/>
      <c r="G26" s="4" t="n"/>
      <c r="H26" s="4" t="n"/>
      <c r="I26" s="4" t="n"/>
      <c r="J26" s="4" t="n"/>
      <c r="K26" s="4" t="n"/>
      <c r="L26" s="5">
        <f>IF(C26="","",SUM(G26:I26))</f>
        <v/>
      </c>
      <c r="M26" s="5">
        <f>IF(C26="","",F26+L26-J26)</f>
        <v/>
      </c>
      <c r="N26" s="5">
        <f>IF(C26="","",IFERROR(ROUND(M26/E26,0),0))</f>
        <v/>
      </c>
      <c r="O26" s="6">
        <f>IF(C26="","",IFERROR(G26/L26,0))</f>
        <v/>
      </c>
      <c r="P26" s="5">
        <f>IF(C26="","",K26-N26)</f>
        <v/>
      </c>
      <c r="Q26" s="6">
        <f>IF(C26="","",IFERROR(P26/K26,0))</f>
        <v/>
      </c>
      <c r="R26" s="7">
        <f>IF(C26="","",IF(K26&lt;=0,"Chưa nhập giá bán",IF(P26&lt;0,"Bán dưới giá thành",IF(Q26&lt;0.1,"Lãi gộp mỏng dưới 10%","Bình thường"))))</f>
        <v/>
      </c>
    </row>
    <row r="27">
      <c r="A27" s="2" t="n"/>
      <c r="B27" s="3" t="n"/>
      <c r="C27" s="3" t="n"/>
      <c r="D27" s="3" t="n"/>
      <c r="E27" s="2" t="n"/>
      <c r="F27" s="4" t="n"/>
      <c r="G27" s="4" t="n"/>
      <c r="H27" s="4" t="n"/>
      <c r="I27" s="4" t="n"/>
      <c r="J27" s="4" t="n"/>
      <c r="K27" s="4" t="n"/>
      <c r="L27" s="5">
        <f>IF(C27="","",SUM(G27:I27))</f>
        <v/>
      </c>
      <c r="M27" s="5">
        <f>IF(C27="","",F27+L27-J27)</f>
        <v/>
      </c>
      <c r="N27" s="5">
        <f>IF(C27="","",IFERROR(ROUND(M27/E27,0),0))</f>
        <v/>
      </c>
      <c r="O27" s="6">
        <f>IF(C27="","",IFERROR(G27/L27,0))</f>
        <v/>
      </c>
      <c r="P27" s="5">
        <f>IF(C27="","",K27-N27)</f>
        <v/>
      </c>
      <c r="Q27" s="6">
        <f>IF(C27="","",IFERROR(P27/K27,0))</f>
        <v/>
      </c>
      <c r="R27" s="7">
        <f>IF(C27="","",IF(K27&lt;=0,"Chưa nhập giá bán",IF(P27&lt;0,"Bán dưới giá thành",IF(Q27&lt;0.1,"Lãi gộp mỏng dưới 10%","Bình thường"))))</f>
        <v/>
      </c>
    </row>
    <row r="28">
      <c r="A28" s="2" t="n"/>
      <c r="B28" s="3" t="n"/>
      <c r="C28" s="3" t="n"/>
      <c r="D28" s="3" t="n"/>
      <c r="E28" s="2" t="n"/>
      <c r="F28" s="4" t="n"/>
      <c r="G28" s="4" t="n"/>
      <c r="H28" s="4" t="n"/>
      <c r="I28" s="4" t="n"/>
      <c r="J28" s="4" t="n"/>
      <c r="K28" s="4" t="n"/>
      <c r="L28" s="5">
        <f>IF(C28="","",SUM(G28:I28))</f>
        <v/>
      </c>
      <c r="M28" s="5">
        <f>IF(C28="","",F28+L28-J28)</f>
        <v/>
      </c>
      <c r="N28" s="5">
        <f>IF(C28="","",IFERROR(ROUND(M28/E28,0),0))</f>
        <v/>
      </c>
      <c r="O28" s="6">
        <f>IF(C28="","",IFERROR(G28/L28,0))</f>
        <v/>
      </c>
      <c r="P28" s="5">
        <f>IF(C28="","",K28-N28)</f>
        <v/>
      </c>
      <c r="Q28" s="6">
        <f>IF(C28="","",IFERROR(P28/K28,0))</f>
        <v/>
      </c>
      <c r="R28" s="7">
        <f>IF(C28="","",IF(K28&lt;=0,"Chưa nhập giá bán",IF(P28&lt;0,"Bán dưới giá thành",IF(Q28&lt;0.1,"Lãi gộp mỏng dưới 10%","Bình thường"))))</f>
        <v/>
      </c>
    </row>
    <row r="29">
      <c r="A29" s="2" t="n"/>
      <c r="B29" s="3" t="n"/>
      <c r="C29" s="3" t="n"/>
      <c r="D29" s="3" t="n"/>
      <c r="E29" s="2" t="n"/>
      <c r="F29" s="4" t="n"/>
      <c r="G29" s="4" t="n"/>
      <c r="H29" s="4" t="n"/>
      <c r="I29" s="4" t="n"/>
      <c r="J29" s="4" t="n"/>
      <c r="K29" s="4" t="n"/>
      <c r="L29" s="5">
        <f>IF(C29="","",SUM(G29:I29))</f>
        <v/>
      </c>
      <c r="M29" s="5">
        <f>IF(C29="","",F29+L29-J29)</f>
        <v/>
      </c>
      <c r="N29" s="5">
        <f>IF(C29="","",IFERROR(ROUND(M29/E29,0),0))</f>
        <v/>
      </c>
      <c r="O29" s="6">
        <f>IF(C29="","",IFERROR(G29/L29,0))</f>
        <v/>
      </c>
      <c r="P29" s="5">
        <f>IF(C29="","",K29-N29)</f>
        <v/>
      </c>
      <c r="Q29" s="6">
        <f>IF(C29="","",IFERROR(P29/K29,0))</f>
        <v/>
      </c>
      <c r="R29" s="7">
        <f>IF(C29="","",IF(K29&lt;=0,"Chưa nhập giá bán",IF(P29&lt;0,"Bán dưới giá thành",IF(Q29&lt;0.1,"Lãi gộp mỏng dưới 10%","Bình thường"))))</f>
        <v/>
      </c>
    </row>
    <row r="30">
      <c r="A30" s="2" t="n"/>
      <c r="B30" s="3" t="n"/>
      <c r="C30" s="3" t="n"/>
      <c r="D30" s="3" t="n"/>
      <c r="E30" s="2" t="n"/>
      <c r="F30" s="4" t="n"/>
      <c r="G30" s="4" t="n"/>
      <c r="H30" s="4" t="n"/>
      <c r="I30" s="4" t="n"/>
      <c r="J30" s="4" t="n"/>
      <c r="K30" s="4" t="n"/>
      <c r="L30" s="5">
        <f>IF(C30="","",SUM(G30:I30))</f>
        <v/>
      </c>
      <c r="M30" s="5">
        <f>IF(C30="","",F30+L30-J30)</f>
        <v/>
      </c>
      <c r="N30" s="5">
        <f>IF(C30="","",IFERROR(ROUND(M30/E30,0),0))</f>
        <v/>
      </c>
      <c r="O30" s="6">
        <f>IF(C30="","",IFERROR(G30/L30,0))</f>
        <v/>
      </c>
      <c r="P30" s="5">
        <f>IF(C30="","",K30-N30)</f>
        <v/>
      </c>
      <c r="Q30" s="6">
        <f>IF(C30="","",IFERROR(P30/K30,0))</f>
        <v/>
      </c>
      <c r="R30" s="7">
        <f>IF(C30="","",IF(K30&lt;=0,"Chưa nhập giá bán",IF(P30&lt;0,"Bán dưới giá thành",IF(Q30&lt;0.1,"Lãi gộp mỏng dưới 10%","Bình thường"))))</f>
        <v/>
      </c>
    </row>
    <row r="31">
      <c r="A31" s="2" t="n"/>
      <c r="B31" s="3" t="n"/>
      <c r="C31" s="3" t="n"/>
      <c r="D31" s="3" t="n"/>
      <c r="E31" s="2" t="n"/>
      <c r="F31" s="4" t="n"/>
      <c r="G31" s="4" t="n"/>
      <c r="H31" s="4" t="n"/>
      <c r="I31" s="4" t="n"/>
      <c r="J31" s="4" t="n"/>
      <c r="K31" s="4" t="n"/>
      <c r="L31" s="5">
        <f>IF(C31="","",SUM(G31:I31))</f>
        <v/>
      </c>
      <c r="M31" s="5">
        <f>IF(C31="","",F31+L31-J31)</f>
        <v/>
      </c>
      <c r="N31" s="5">
        <f>IF(C31="","",IFERROR(ROUND(M31/E31,0),0))</f>
        <v/>
      </c>
      <c r="O31" s="6">
        <f>IF(C31="","",IFERROR(G31/L31,0))</f>
        <v/>
      </c>
      <c r="P31" s="5">
        <f>IF(C31="","",K31-N31)</f>
        <v/>
      </c>
      <c r="Q31" s="6">
        <f>IF(C31="","",IFERROR(P31/K31,0))</f>
        <v/>
      </c>
      <c r="R31" s="7">
        <f>IF(C31="","",IF(K31&lt;=0,"Chưa nhập giá bán",IF(P31&lt;0,"Bán dưới giá thành",IF(Q31&lt;0.1,"Lãi gộp mỏng dưới 10%","Bình thường"))))</f>
        <v/>
      </c>
    </row>
    <row r="32">
      <c r="A32" s="2" t="n"/>
      <c r="B32" s="3" t="n"/>
      <c r="C32" s="3" t="n"/>
      <c r="D32" s="3" t="n"/>
      <c r="E32" s="2" t="n"/>
      <c r="F32" s="4" t="n"/>
      <c r="G32" s="4" t="n"/>
      <c r="H32" s="4" t="n"/>
      <c r="I32" s="4" t="n"/>
      <c r="J32" s="4" t="n"/>
      <c r="K32" s="4" t="n"/>
      <c r="L32" s="5">
        <f>IF(C32="","",SUM(G32:I32))</f>
        <v/>
      </c>
      <c r="M32" s="5">
        <f>IF(C32="","",F32+L32-J32)</f>
        <v/>
      </c>
      <c r="N32" s="5">
        <f>IF(C32="","",IFERROR(ROUND(M32/E32,0),0))</f>
        <v/>
      </c>
      <c r="O32" s="6">
        <f>IF(C32="","",IFERROR(G32/L32,0))</f>
        <v/>
      </c>
      <c r="P32" s="5">
        <f>IF(C32="","",K32-N32)</f>
        <v/>
      </c>
      <c r="Q32" s="6">
        <f>IF(C32="","",IFERROR(P32/K32,0))</f>
        <v/>
      </c>
      <c r="R32" s="7">
        <f>IF(C32="","",IF(K32&lt;=0,"Chưa nhập giá bán",IF(P32&lt;0,"Bán dưới giá thành",IF(Q32&lt;0.1,"Lãi gộp mỏng dưới 10%","Bình thường"))))</f>
        <v/>
      </c>
    </row>
  </sheetData>
  <autoFilter ref="A1:R32"/>
  <dataValidations count="8">
    <dataValidation sqref="D2:D32" showDropDown="0" showInputMessage="0" showErrorMessage="0" allowBlank="1" errorTitle="Sai định dạng" error="Giá trị không hợp lệ cho cột này." type="list">
      <formula1>"Cái,Hộp,Chai,Bộ,Kg,Mét,Thùng,Chiếc"</formula1>
    </dataValidation>
    <dataValidation sqref="E2:E32" showDropDown="0" showInputMessage="0" showErrorMessage="0" allowBlank="1" errorTitle="Sai định dạng" error="Giá trị không hợp lệ cho cột này." type="decimal" operator="between">
      <formula1>0</formula1>
      <formula2>10000000</formula2>
    </dataValidation>
    <dataValidation sqref="F2:F32" showDropDown="0" showInputMessage="0" showErrorMessage="0" allowBlank="1" errorTitle="Sai định dạng" error="Giá trị không hợp lệ cho cột này." type="decimal" operator="between">
      <formula1>0</formula1>
      <formula2>100000000000</formula2>
    </dataValidation>
    <dataValidation sqref="G2:G32" showDropDown="0" showInputMessage="0" showErrorMessage="0" allowBlank="1" errorTitle="Sai định dạng" error="Giá trị không hợp lệ cho cột này." type="decimal" operator="between">
      <formula1>0</formula1>
      <formula2>100000000000</formula2>
    </dataValidation>
    <dataValidation sqref="H2:H32" showDropDown="0" showInputMessage="0" showErrorMessage="0" allowBlank="1" errorTitle="Sai định dạng" error="Giá trị không hợp lệ cho cột này." type="decimal" operator="between">
      <formula1>0</formula1>
      <formula2>100000000000</formula2>
    </dataValidation>
    <dataValidation sqref="I2:I32" showDropDown="0" showInputMessage="0" showErrorMessage="0" allowBlank="1" errorTitle="Sai định dạng" error="Giá trị không hợp lệ cho cột này." type="decimal" operator="between">
      <formula1>0</formula1>
      <formula2>100000000000</formula2>
    </dataValidation>
    <dataValidation sqref="J2:J32" showDropDown="0" showInputMessage="0" showErrorMessage="0" allowBlank="1" errorTitle="Sai định dạng" error="Giá trị không hợp lệ cho cột này." type="decimal" operator="between">
      <formula1>0</formula1>
      <formula2>100000000000</formula2>
    </dataValidation>
    <dataValidation sqref="K2:K32" showDropDown="0" showInputMessage="0" showErrorMessage="0" allowBlank="1" errorTitle="Sai định dạng" error="Giá trị không hợp lệ cho cột này." type="decimal" operator="between">
      <formula1>0</formula1>
      <formula2>1000000000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32"/>
  <sheetViews>
    <sheetView workbookViewId="0">
      <selection activeCell="A1" sqref="A1"/>
    </sheetView>
  </sheetViews>
  <sheetFormatPr baseColWidth="8" defaultRowHeight="15"/>
  <cols>
    <col width="4" customWidth="1" min="1" max="1"/>
    <col width="100" customWidth="1" min="2" max="2"/>
  </cols>
  <sheetData>
    <row r="1">
      <c r="B1" s="8" t="inlineStr">
        <is>
          <t>Mẫu Excel tính giá thành sản phẩm theo phương pháp giản đơn</t>
        </is>
      </c>
    </row>
    <row r="2">
      <c r="B2" s="9" t="inlineStr"/>
    </row>
    <row r="3">
      <c r="B3" s="10" t="inlineStr">
        <is>
          <t>CÁCH DÙNG</t>
        </is>
      </c>
    </row>
    <row r="4">
      <c r="B4" s="11" t="inlineStr">
        <is>
          <t>1. Khai từng sản phẩm và sản lượng hoàn thành</t>
        </is>
      </c>
    </row>
    <row r="5">
      <c r="B5" s="9" t="inlineStr">
        <is>
          <t xml:space="preserve">   Mỗi sản phẩm hoặc mỗi lệnh sản xuất một dòng. Số lượng hoàn thành là số thành phẩm đã nhập kho trong kỳ, không tính phần còn dở trên chuyền — phần dở đó đi vào cột chi phí dở dang cuối kỳ.</t>
        </is>
      </c>
    </row>
    <row r="6">
      <c r="B6" s="11" t="inlineStr">
        <is>
          <t>2. Tập hợp chi phí nguyên vật liệu trực tiếp</t>
        </is>
      </c>
    </row>
    <row r="7">
      <c r="B7" s="9" t="inlineStr">
        <is>
          <t xml:space="preserve">   Là giá trị vật tư thực xuất dùng cho sản phẩm đó, lấy từ phiếu xuất kho trong kỳ. Nếu một loại vật tư dùng chung cho nhiều sản phẩm thì phải phân bổ trước, thường theo định mức tiêu hao hoặc theo sản lượng.</t>
        </is>
      </c>
    </row>
    <row r="8">
      <c r="B8" s="11" t="inlineStr">
        <is>
          <t>3. Tập hợp nhân công trực tiếp và sản xuất chung</t>
        </is>
      </c>
    </row>
    <row r="9">
      <c r="B9" s="9" t="inlineStr">
        <is>
          <t xml:space="preserve">   Nhân công trực tiếp là lương và các khoản trích theo lương của người trực tiếp làm ra sản phẩm. Sản xuất chung là chi phí của cả xưởng: khấu hao máy móc, điện sản xuất, lương quản đốc, vật tư phụ. Phần này gần như luôn phải phân bổ, tiêu thức phổ biến là theo giờ công hoặc theo chi phí nhân công trực tiếp.</t>
        </is>
      </c>
    </row>
    <row r="10">
      <c r="B10" s="11" t="inlineStr">
        <is>
          <t>4. Nhập chi phí dở dang đầu và cuối kỳ</t>
        </is>
      </c>
    </row>
    <row r="11">
      <c r="B11" s="9" t="inlineStr">
        <is>
          <t xml:space="preserve">   Dở dang đầu kỳ lấy đúng bằng dở dang cuối kỳ của bảng kỳ trước. Dở dang cuối kỳ là giá trị phần đang làm chưa xong tại thời điểm chốt, đánh giá theo cách đơn vị bạn đã chọn và giữ nguyên cách đó qua các kỳ.</t>
        </is>
      </c>
    </row>
    <row r="12">
      <c r="B12" s="11" t="inlineStr">
        <is>
          <t>5. Đọc cột lãi gộp trên từng đơn vị</t>
        </is>
      </c>
    </row>
    <row r="13">
      <c r="B13" s="9" t="inlineStr">
        <is>
          <t xml:space="preserve">   Sản phẩm lãi âm phải xử lý ngay: tăng giá, cắt chi phí, hoặc dừng sản xuất. Nhưng trước khi quyết định, hãy kiểm lại cách phân bổ chi phí sản xuất chung — một tiêu thức phân bổ đặt sai có thể khiến sản phẩm đang lãi nhìn thành lỗ.</t>
        </is>
      </c>
    </row>
    <row r="14">
      <c r="B14" s="9" t="inlineStr"/>
    </row>
    <row r="15">
      <c r="B15" s="10" t="inlineStr">
        <is>
          <t>CÔNG THỨC TRONG FILE</t>
        </is>
      </c>
    </row>
    <row r="16">
      <c r="B16" s="11" t="inlineStr">
        <is>
          <t>Chi phí phát sinh trong kỳ  —  =IF(C2="","",SUM(G2:I2))</t>
        </is>
      </c>
    </row>
    <row r="17">
      <c r="B17" s="9" t="inlineStr">
        <is>
          <t xml:space="preserve">   Cộng cả khối ba khoản mục chi phí sản xuất của dòng. Viết bằng SUM trên vùng nên nếu doanh nghiệp bạn tách thêm một khoản mục chi phí, chỉ cần chèn cột vào giữa khối là công thức tự nới ra.</t>
        </is>
      </c>
    </row>
    <row r="18">
      <c r="B18" s="11" t="inlineStr">
        <is>
          <t>Tổng giá thành  —  =IF(C2="","",F2+L2-J2)</t>
        </is>
      </c>
    </row>
    <row r="19">
      <c r="B19" s="9" t="inlineStr">
        <is>
          <t xml:space="preserve">   Công thức gốc của giá thành: dở dang đầu kỳ cộng chi phí phát sinh trừ dở dang cuối kỳ. Hai cột dở dang chính là thứ giữ cho chi phí nằm đúng kỳ mà nó tạo ra thành phẩm.</t>
        </is>
      </c>
    </row>
    <row r="20">
      <c r="B20" s="11" t="inlineStr">
        <is>
          <t>Giá thành đơn vị  —  =IF(C2="","",IFERROR(ROUND(M2/E2,0),0))</t>
        </is>
      </c>
    </row>
    <row r="21">
      <c r="B21" s="9" t="inlineStr">
        <is>
          <t xml:space="preserve">   Tổng giá thành chia số lượng hoàn thành, làm tròn tới đồng. Bọc IFERROR cho dòng chưa nhập sản lượng, vì chia cho 0 sẽ ném #DIV/0! và kéo cả cột cảnh báo phía sau thành lỗi theo.</t>
        </is>
      </c>
    </row>
    <row r="22">
      <c r="B22" s="11" t="inlineStr">
        <is>
          <t>Tỷ trọng NVL  —  =IF(C2="","",IFERROR(G2/L2,0))</t>
        </is>
      </c>
    </row>
    <row r="23">
      <c r="B23" s="9" t="inlineStr">
        <is>
          <t xml:space="preserve">   Vật tư chiếm bao nhiêu phần trong chi phí sản xuất phát sinh. Số này chỉ ra chỗ đáng bỏ công cải thiện nhất: tỷ trọng cao thì đàm phán giá mua và siết hao hụt, tỷ trọng thấp thì việc cần làm nằm ở năng suất nhân công.</t>
        </is>
      </c>
    </row>
    <row r="24">
      <c r="B24" s="11" t="inlineStr">
        <is>
          <t>Lãi gộp một đơn vị  —  =IF(C2="","",K2-N2)</t>
        </is>
      </c>
    </row>
    <row r="25">
      <c r="B25" s="9" t="inlineStr">
        <is>
          <t xml:space="preserve">   Bán một đơn vị thì lãi bao nhiêu trước khi tính chi phí bán hàng và quản lý. Số âm nghĩa là càng bán càng lỗ ở mức giá hiện tại, và không cách nào bù bằng sản lượng.</t>
        </is>
      </c>
    </row>
    <row r="26">
      <c r="B26" s="11" t="inlineStr">
        <is>
          <t>Tỷ lệ lãi gộp  —  =IF(C2="","",IFERROR(P2/K2,0))</t>
        </is>
      </c>
    </row>
    <row r="27">
      <c r="B27" s="9" t="inlineStr">
        <is>
          <t xml:space="preserve">   Lãi gộp chia giá bán — dùng để so các sản phẩm có mức giá chênh nhau hàng chục lần, chuyện mà con số lãi tuyệt đối không làm được. Phần lãi này còn phải gánh chi phí bán hàng và quản lý trước khi thành lợi nhuận thật.</t>
        </is>
      </c>
    </row>
    <row r="28">
      <c r="B28" s="11" t="inlineStr">
        <is>
          <t>Cảnh báo  —  =IF(C2="","",IF(K2&lt;=0,"Chưa nhập giá bán",IF(P2&lt;0,"Bán dưới giá thành",IF(Q2&lt;0.1,"Lãi gộp mỏng dưới 10%","Bình thường"))))</t>
        </is>
      </c>
    </row>
    <row r="29">
      <c r="B29" s="9" t="inlineStr">
        <is>
          <t xml:space="preserve">   Kiểm dữ liệu trước, kết quả sau: dòng chưa có giá bán thì mọi kết luận về lãi lỗ đều vô nghĩa nên phải chặn từ đầu. Ngưỡng 10% là mức tham chiếu chung, hãy sửa cho hợp ngành trước khi dùng nó để ra quyết định dừng mặt hàng.</t>
        </is>
      </c>
    </row>
    <row r="30">
      <c r="B30" s="9" t="inlineStr"/>
    </row>
    <row r="31">
      <c r="B31" s="11" t="inlineStr">
        <is>
          <t>Bản cập nhật mới nhất và hướng dẫn chi tiết:</t>
        </is>
      </c>
    </row>
    <row r="32">
      <c r="B32" s="12" t="inlineStr">
        <is>
          <t>https://excel.nguyenvietloc.com/mau-excel/ke-toan/bang-tinh-gia-thanh-san-pham</t>
        </is>
      </c>
    </row>
  </sheetData>
  <hyperlinks>
    <hyperlink xmlns:r="http://schemas.openxmlformats.org/officeDocument/2006/relationships" ref="B3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2026-08-10T14:33:15Z</dcterms:created>
  <dcterms:modified xsi:type="dcterms:W3CDTF">2026-08-10T14:33:15Z</dcterms:modified>
</cp:coreProperties>
</file>