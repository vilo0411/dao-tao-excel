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ảng khấu hao TSCĐ" sheetId="1" state="visible" r:id="rId1"/>
    <sheet name="Hướng dẫn" sheetId="2" state="visible" r:id="rId2"/>
  </sheets>
  <definedNames>
    <definedName name="_xlnm._FilterDatabase" localSheetId="0" hidden="1">'Bảng khấu hao TSCĐ'!$A$1:$O$32</definedName>
  </definedNames>
  <calcPr calcId="124519" fullCalcOnLoad="1"/>
</workbook>
</file>

<file path=xl/styles.xml><?xml version="1.0" encoding="utf-8"?>
<styleSheet xmlns="http://schemas.openxmlformats.org/spreadsheetml/2006/main">
  <numFmts count="5">
    <numFmt numFmtId="164" formatCode="#,##0.##"/>
    <numFmt numFmtId="165" formatCode="yyyy-mm-dd"/>
    <numFmt numFmtId="166" formatCode="dd/mm/yyyy"/>
    <numFmt numFmtId="167" formatCode="#,##0 &quot;₫&quot;"/>
    <numFmt numFmtId="168" formatCode="0.0%"/>
  </numFmts>
  <fonts count="6">
    <font>
      <name val="Calibri"/>
      <family val="2"/>
      <color theme="1"/>
      <sz val="11"/>
      <scheme val="minor"/>
    </font>
    <font>
      <b val="1"/>
      <color rgb="00FFFFFF"/>
      <sz val="11"/>
    </font>
    <font>
      <b val="1"/>
      <sz val="14"/>
    </font>
    <font>
      <b val="1"/>
      <sz val="12"/>
    </font>
    <font>
      <b val="1"/>
    </font>
    <font>
      <color rgb="001D4ED8"/>
      <u val="single"/>
    </font>
  </fonts>
  <fills count="4">
    <fill>
      <patternFill/>
    </fill>
    <fill>
      <patternFill patternType="gray125"/>
    </fill>
    <fill>
      <patternFill patternType="solid">
        <fgColor rgb="001D4ED8"/>
      </patternFill>
    </fill>
    <fill>
      <patternFill patternType="solid">
        <fgColor rgb="00EFF6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164" fontId="0" fillId="0" borderId="1" pivotButton="0" quotePrefix="0" xfId="0"/>
    <xf numFmtId="49" fontId="0" fillId="0" borderId="1" pivotButton="0" quotePrefix="0" xfId="0"/>
    <xf numFmtId="166" fontId="0" fillId="0" borderId="1" pivotButton="0" quotePrefix="0" xfId="0"/>
    <xf numFmtId="167" fontId="0" fillId="0" borderId="1" pivotButton="0" quotePrefix="0" xfId="0"/>
    <xf numFmtId="167" fontId="0" fillId="3" borderId="1" pivotButton="0" quotePrefix="0" xfId="0"/>
    <xf numFmtId="168" fontId="0" fillId="3" borderId="1" pivotButton="0" quotePrefix="0" xfId="0"/>
    <xf numFmtId="49" fontId="0" fillId="3" borderId="1"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excel.nguyenvietloc.com/mau-excel/ke-toan/bang-tinh-khau-hao-tai-san-co-dinh" TargetMode="External" Id="rId1" /></Relationships>
</file>

<file path=xl/worksheets/sheet1.xml><?xml version="1.0" encoding="utf-8"?>
<worksheet xmlns="http://schemas.openxmlformats.org/spreadsheetml/2006/main">
  <sheetPr>
    <outlinePr summaryBelow="1" summaryRight="1"/>
    <pageSetUpPr/>
  </sheetPr>
  <dimension ref="A1:O32"/>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32" customWidth="1" min="3" max="3"/>
    <col width="22" customWidth="1" min="4" max="4"/>
    <col width="15" customWidth="1" min="5" max="5"/>
    <col width="18" customWidth="1" min="6" max="6"/>
    <col width="12" customWidth="1" min="7" max="7"/>
    <col width="20" customWidth="1" min="8" max="8"/>
    <col width="18" customWidth="1" min="9" max="9"/>
    <col width="18" customWidth="1" min="10" max="10"/>
    <col width="18" customWidth="1" min="11" max="11"/>
    <col width="18" customWidth="1" min="12" max="12"/>
    <col width="18" customWidth="1" min="13" max="13"/>
    <col width="12" customWidth="1" min="14" max="14"/>
    <col width="34" customWidth="1" min="15" max="15"/>
  </cols>
  <sheetData>
    <row r="1" ht="32" customHeight="1">
      <c r="A1" s="1" t="inlineStr">
        <is>
          <t>STT</t>
        </is>
      </c>
      <c r="B1" s="1" t="inlineStr">
        <is>
          <t>Mã tài sản</t>
        </is>
      </c>
      <c r="C1" s="1" t="inlineStr">
        <is>
          <t>Tên tài sản</t>
        </is>
      </c>
      <c r="D1" s="1" t="inlineStr">
        <is>
          <t>Nhóm tài sản</t>
        </is>
      </c>
      <c r="E1" s="1" t="inlineStr">
        <is>
          <t>Ngày đưa vào sử dụng</t>
        </is>
      </c>
      <c r="F1" s="1" t="inlineStr">
        <is>
          <t>Nguyên giá</t>
        </is>
      </c>
      <c r="G1" s="1" t="inlineStr">
        <is>
          <t>Số năm khấu hao</t>
        </is>
      </c>
      <c r="H1" s="1" t="inlineStr">
        <is>
          <t>Khấu hao lũy kế đầu kỳ</t>
        </is>
      </c>
      <c r="I1" s="1" t="inlineStr">
        <is>
          <t>Mức khấu hao năm</t>
        </is>
      </c>
      <c r="J1" s="1" t="inlineStr">
        <is>
          <t>Mức khấu hao tháng</t>
        </is>
      </c>
      <c r="K1" s="1" t="inlineStr">
        <is>
          <t>Khấu hao trong kỳ</t>
        </is>
      </c>
      <c r="L1" s="1" t="inlineStr">
        <is>
          <t>Lũy kế cuối kỳ</t>
        </is>
      </c>
      <c r="M1" s="1" t="inlineStr">
        <is>
          <t>Giá trị còn lại</t>
        </is>
      </c>
      <c r="N1" s="1" t="inlineStr">
        <is>
          <t>Đã khấu hao</t>
        </is>
      </c>
      <c r="O1" s="1" t="inlineStr">
        <is>
          <t>Cảnh báo</t>
        </is>
      </c>
    </row>
    <row r="2">
      <c r="A2" s="2" t="n">
        <v>1</v>
      </c>
      <c r="B2" s="3" t="inlineStr">
        <is>
          <t>TS001</t>
        </is>
      </c>
      <c r="C2" s="3" t="inlineStr">
        <is>
          <t>Xe tải Hyundai 2,5 tấn</t>
        </is>
      </c>
      <c r="D2" s="3" t="inlineStr">
        <is>
          <t>Phương tiện vận tải</t>
        </is>
      </c>
      <c r="E2" s="4" t="n">
        <v>45000</v>
      </c>
      <c r="F2" s="5" t="n">
        <v>780000000</v>
      </c>
      <c r="G2" s="2" t="n">
        <v>8</v>
      </c>
      <c r="H2" s="5" t="n">
        <v>195000000</v>
      </c>
      <c r="I2" s="6">
        <f>IF(C2="","",IFERROR(ROUND(F2/G2,0),0))</f>
        <v/>
      </c>
      <c r="J2" s="6">
        <f>IF(C2="","",ROUND(I2/12,0))</f>
        <v/>
      </c>
      <c r="K2" s="6">
        <f>IF(C2="","",MIN(J2,MAX(0,F2-H2)))</f>
        <v/>
      </c>
      <c r="L2" s="6">
        <f>IF(C2="","",H2+K2)</f>
        <v/>
      </c>
      <c r="M2" s="6">
        <f>IF(C2="","",F2-L2)</f>
        <v/>
      </c>
      <c r="N2" s="7">
        <f>IF(C2="","",IFERROR(L2/F2,0))</f>
        <v/>
      </c>
      <c r="O2" s="8">
        <f>IF(C2="","",IF(F2&lt;30000000,"Dưới 30 triệu - không đủ tiêu chuẩn TSCĐ",IF(M2&lt;=0,"Đã khấu hao hết",IF(N2&gt;=0.9,"Sắp khấu hao hết - lên kế hoạch thay thế","Đang khấu hao"))))</f>
        <v/>
      </c>
    </row>
    <row r="3">
      <c r="A3" s="2" t="n">
        <v>2</v>
      </c>
      <c r="B3" s="3" t="inlineStr">
        <is>
          <t>TS002</t>
        </is>
      </c>
      <c r="C3" s="3" t="inlineStr">
        <is>
          <t>Nhà xưởng sản xuất khu B</t>
        </is>
      </c>
      <c r="D3" s="3" t="inlineStr">
        <is>
          <t>Nhà cửa vật kiến trúc</t>
        </is>
      </c>
      <c r="E3" s="4" t="n">
        <v>44348</v>
      </c>
      <c r="F3" s="5" t="n">
        <v>2400000000</v>
      </c>
      <c r="G3" s="2" t="n">
        <v>20</v>
      </c>
      <c r="H3" s="5" t="n">
        <v>600000000</v>
      </c>
      <c r="I3" s="6">
        <f>IF(C3="","",IFERROR(ROUND(F3/G3,0),0))</f>
        <v/>
      </c>
      <c r="J3" s="6">
        <f>IF(C3="","",ROUND(I3/12,0))</f>
        <v/>
      </c>
      <c r="K3" s="6">
        <f>IF(C3="","",MIN(J3,MAX(0,F3-H3)))</f>
        <v/>
      </c>
      <c r="L3" s="6">
        <f>IF(C3="","",H3+K3)</f>
        <v/>
      </c>
      <c r="M3" s="6">
        <f>IF(C3="","",F3-L3)</f>
        <v/>
      </c>
      <c r="N3" s="7">
        <f>IF(C3="","",IFERROR(L3/F3,0))</f>
        <v/>
      </c>
      <c r="O3" s="8">
        <f>IF(C3="","",IF(F3&lt;30000000,"Dưới 30 triệu - không đủ tiêu chuẩn TSCĐ",IF(M3&lt;=0,"Đã khấu hao hết",IF(N3&gt;=0.9,"Sắp khấu hao hết - lên kế hoạch thay thế","Đang khấu hao"))))</f>
        <v/>
      </c>
    </row>
    <row r="4">
      <c r="A4" s="2" t="n">
        <v>3</v>
      </c>
      <c r="B4" s="3" t="inlineStr">
        <is>
          <t>TS003</t>
        </is>
      </c>
      <c r="C4" s="3" t="inlineStr">
        <is>
          <t>Máy photocopy Ricoh MP2555</t>
        </is>
      </c>
      <c r="D4" s="3" t="inlineStr">
        <is>
          <t>Thiết bị văn phòng</t>
        </is>
      </c>
      <c r="E4" s="4" t="n">
        <v>44237</v>
      </c>
      <c r="F4" s="5" t="n">
        <v>62000000</v>
      </c>
      <c r="G4" s="2" t="n">
        <v>5</v>
      </c>
      <c r="H4" s="5" t="n">
        <v>58900000</v>
      </c>
      <c r="I4" s="6">
        <f>IF(C4="","",IFERROR(ROUND(F4/G4,0),0))</f>
        <v/>
      </c>
      <c r="J4" s="6">
        <f>IF(C4="","",ROUND(I4/12,0))</f>
        <v/>
      </c>
      <c r="K4" s="6">
        <f>IF(C4="","",MIN(J4,MAX(0,F4-H4)))</f>
        <v/>
      </c>
      <c r="L4" s="6">
        <f>IF(C4="","",H4+K4)</f>
        <v/>
      </c>
      <c r="M4" s="6">
        <f>IF(C4="","",F4-L4)</f>
        <v/>
      </c>
      <c r="N4" s="7">
        <f>IF(C4="","",IFERROR(L4/F4,0))</f>
        <v/>
      </c>
      <c r="O4" s="8">
        <f>IF(C4="","",IF(F4&lt;30000000,"Dưới 30 triệu - không đủ tiêu chuẩn TSCĐ",IF(M4&lt;=0,"Đã khấu hao hết",IF(N4&gt;=0.9,"Sắp khấu hao hết - lên kế hoạch thay thế","Đang khấu hao"))))</f>
        <v/>
      </c>
    </row>
    <row r="5">
      <c r="A5" s="2" t="n">
        <v>4</v>
      </c>
      <c r="B5" s="3" t="inlineStr">
        <is>
          <t>TS004</t>
        </is>
      </c>
      <c r="C5" s="3" t="inlineStr">
        <is>
          <t>Hệ thống máy lạnh văn phòng tầng 3</t>
        </is>
      </c>
      <c r="D5" s="3" t="inlineStr">
        <is>
          <t>Máy móc thiết bị</t>
        </is>
      </c>
      <c r="E5" s="4" t="n">
        <v>43344</v>
      </c>
      <c r="F5" s="5" t="n">
        <v>145000000</v>
      </c>
      <c r="G5" s="2" t="n">
        <v>7</v>
      </c>
      <c r="H5" s="5" t="n">
        <v>145000000</v>
      </c>
      <c r="I5" s="6">
        <f>IF(C5="","",IFERROR(ROUND(F5/G5,0),0))</f>
        <v/>
      </c>
      <c r="J5" s="6">
        <f>IF(C5="","",ROUND(I5/12,0))</f>
        <v/>
      </c>
      <c r="K5" s="6">
        <f>IF(C5="","",MIN(J5,MAX(0,F5-H5)))</f>
        <v/>
      </c>
      <c r="L5" s="6">
        <f>IF(C5="","",H5+K5)</f>
        <v/>
      </c>
      <c r="M5" s="6">
        <f>IF(C5="","",F5-L5)</f>
        <v/>
      </c>
      <c r="N5" s="7">
        <f>IF(C5="","",IFERROR(L5/F5,0))</f>
        <v/>
      </c>
      <c r="O5" s="8">
        <f>IF(C5="","",IF(F5&lt;30000000,"Dưới 30 triệu - không đủ tiêu chuẩn TSCĐ",IF(M5&lt;=0,"Đã khấu hao hết",IF(N5&gt;=0.9,"Sắp khấu hao hết - lên kế hoạch thay thế","Đang khấu hao"))))</f>
        <v/>
      </c>
    </row>
    <row r="6">
      <c r="A6" s="2" t="n">
        <v>5</v>
      </c>
      <c r="B6" s="3" t="inlineStr">
        <is>
          <t>TS005</t>
        </is>
      </c>
      <c r="C6" s="3" t="inlineStr">
        <is>
          <t>Phần mềm kế toán bản quyền</t>
        </is>
      </c>
      <c r="D6" s="3" t="inlineStr">
        <is>
          <t>Tài sản vô hình</t>
        </is>
      </c>
      <c r="E6" s="4" t="n">
        <v>45296</v>
      </c>
      <c r="F6" s="5" t="n">
        <v>96000000</v>
      </c>
      <c r="G6" s="2" t="n">
        <v>3</v>
      </c>
      <c r="H6" s="5" t="n">
        <v>64000000</v>
      </c>
      <c r="I6" s="6">
        <f>IF(C6="","",IFERROR(ROUND(F6/G6,0),0))</f>
        <v/>
      </c>
      <c r="J6" s="6">
        <f>IF(C6="","",ROUND(I6/12,0))</f>
        <v/>
      </c>
      <c r="K6" s="6">
        <f>IF(C6="","",MIN(J6,MAX(0,F6-H6)))</f>
        <v/>
      </c>
      <c r="L6" s="6">
        <f>IF(C6="","",H6+K6)</f>
        <v/>
      </c>
      <c r="M6" s="6">
        <f>IF(C6="","",F6-L6)</f>
        <v/>
      </c>
      <c r="N6" s="7">
        <f>IF(C6="","",IFERROR(L6/F6,0))</f>
        <v/>
      </c>
      <c r="O6" s="8">
        <f>IF(C6="","",IF(F6&lt;30000000,"Dưới 30 triệu - không đủ tiêu chuẩn TSCĐ",IF(M6&lt;=0,"Đã khấu hao hết",IF(N6&gt;=0.9,"Sắp khấu hao hết - lên kế hoạch thay thế","Đang khấu hao"))))</f>
        <v/>
      </c>
    </row>
    <row r="7">
      <c r="A7" s="2" t="n">
        <v>6</v>
      </c>
      <c r="B7" s="3" t="inlineStr">
        <is>
          <t>CC001</t>
        </is>
      </c>
      <c r="C7" s="3" t="inlineStr">
        <is>
          <t>Laptop Dell Latitude phòng kinh doanh</t>
        </is>
      </c>
      <c r="D7" s="3" t="inlineStr">
        <is>
          <t>Thiết bị quản lý</t>
        </is>
      </c>
      <c r="E7" s="4" t="n">
        <v>45981</v>
      </c>
      <c r="F7" s="5" t="n">
        <v>28500000</v>
      </c>
      <c r="G7" s="2" t="n">
        <v>3</v>
      </c>
      <c r="H7" s="5" t="n">
        <v>4750000</v>
      </c>
      <c r="I7" s="6">
        <f>IF(C7="","",IFERROR(ROUND(F7/G7,0),0))</f>
        <v/>
      </c>
      <c r="J7" s="6">
        <f>IF(C7="","",ROUND(I7/12,0))</f>
        <v/>
      </c>
      <c r="K7" s="6">
        <f>IF(C7="","",MIN(J7,MAX(0,F7-H7)))</f>
        <v/>
      </c>
      <c r="L7" s="6">
        <f>IF(C7="","",H7+K7)</f>
        <v/>
      </c>
      <c r="M7" s="6">
        <f>IF(C7="","",F7-L7)</f>
        <v/>
      </c>
      <c r="N7" s="7">
        <f>IF(C7="","",IFERROR(L7/F7,0))</f>
        <v/>
      </c>
      <c r="O7" s="8">
        <f>IF(C7="","",IF(F7&lt;30000000,"Dưới 30 triệu - không đủ tiêu chuẩn TSCĐ",IF(M7&lt;=0,"Đã khấu hao hết",IF(N7&gt;=0.9,"Sắp khấu hao hết - lên kế hoạch thay thế","Đang khấu hao"))))</f>
        <v/>
      </c>
    </row>
    <row r="8">
      <c r="A8" s="2" t="n"/>
      <c r="B8" s="3" t="n"/>
      <c r="C8" s="3" t="n"/>
      <c r="D8" s="3" t="n"/>
      <c r="E8" s="4" t="n"/>
      <c r="F8" s="5" t="n"/>
      <c r="G8" s="2" t="n"/>
      <c r="H8" s="5" t="n"/>
      <c r="I8" s="6">
        <f>IF(C8="","",IFERROR(ROUND(F8/G8,0),0))</f>
        <v/>
      </c>
      <c r="J8" s="6">
        <f>IF(C8="","",ROUND(I8/12,0))</f>
        <v/>
      </c>
      <c r="K8" s="6">
        <f>IF(C8="","",MIN(J8,MAX(0,F8-H8)))</f>
        <v/>
      </c>
      <c r="L8" s="6">
        <f>IF(C8="","",H8+K8)</f>
        <v/>
      </c>
      <c r="M8" s="6">
        <f>IF(C8="","",F8-L8)</f>
        <v/>
      </c>
      <c r="N8" s="7">
        <f>IF(C8="","",IFERROR(L8/F8,0))</f>
        <v/>
      </c>
      <c r="O8" s="8">
        <f>IF(C8="","",IF(F8&lt;30000000,"Dưới 30 triệu - không đủ tiêu chuẩn TSCĐ",IF(M8&lt;=0,"Đã khấu hao hết",IF(N8&gt;=0.9,"Sắp khấu hao hết - lên kế hoạch thay thế","Đang khấu hao"))))</f>
        <v/>
      </c>
    </row>
    <row r="9">
      <c r="A9" s="2" t="n"/>
      <c r="B9" s="3" t="n"/>
      <c r="C9" s="3" t="n"/>
      <c r="D9" s="3" t="n"/>
      <c r="E9" s="4" t="n"/>
      <c r="F9" s="5" t="n"/>
      <c r="G9" s="2" t="n"/>
      <c r="H9" s="5" t="n"/>
      <c r="I9" s="6">
        <f>IF(C9="","",IFERROR(ROUND(F9/G9,0),0))</f>
        <v/>
      </c>
      <c r="J9" s="6">
        <f>IF(C9="","",ROUND(I9/12,0))</f>
        <v/>
      </c>
      <c r="K9" s="6">
        <f>IF(C9="","",MIN(J9,MAX(0,F9-H9)))</f>
        <v/>
      </c>
      <c r="L9" s="6">
        <f>IF(C9="","",H9+K9)</f>
        <v/>
      </c>
      <c r="M9" s="6">
        <f>IF(C9="","",F9-L9)</f>
        <v/>
      </c>
      <c r="N9" s="7">
        <f>IF(C9="","",IFERROR(L9/F9,0))</f>
        <v/>
      </c>
      <c r="O9" s="8">
        <f>IF(C9="","",IF(F9&lt;30000000,"Dưới 30 triệu - không đủ tiêu chuẩn TSCĐ",IF(M9&lt;=0,"Đã khấu hao hết",IF(N9&gt;=0.9,"Sắp khấu hao hết - lên kế hoạch thay thế","Đang khấu hao"))))</f>
        <v/>
      </c>
    </row>
    <row r="10">
      <c r="A10" s="2" t="n"/>
      <c r="B10" s="3" t="n"/>
      <c r="C10" s="3" t="n"/>
      <c r="D10" s="3" t="n"/>
      <c r="E10" s="4" t="n"/>
      <c r="F10" s="5" t="n"/>
      <c r="G10" s="2" t="n"/>
      <c r="H10" s="5" t="n"/>
      <c r="I10" s="6">
        <f>IF(C10="","",IFERROR(ROUND(F10/G10,0),0))</f>
        <v/>
      </c>
      <c r="J10" s="6">
        <f>IF(C10="","",ROUND(I10/12,0))</f>
        <v/>
      </c>
      <c r="K10" s="6">
        <f>IF(C10="","",MIN(J10,MAX(0,F10-H10)))</f>
        <v/>
      </c>
      <c r="L10" s="6">
        <f>IF(C10="","",H10+K10)</f>
        <v/>
      </c>
      <c r="M10" s="6">
        <f>IF(C10="","",F10-L10)</f>
        <v/>
      </c>
      <c r="N10" s="7">
        <f>IF(C10="","",IFERROR(L10/F10,0))</f>
        <v/>
      </c>
      <c r="O10" s="8">
        <f>IF(C10="","",IF(F10&lt;30000000,"Dưới 30 triệu - không đủ tiêu chuẩn TSCĐ",IF(M10&lt;=0,"Đã khấu hao hết",IF(N10&gt;=0.9,"Sắp khấu hao hết - lên kế hoạch thay thế","Đang khấu hao"))))</f>
        <v/>
      </c>
    </row>
    <row r="11">
      <c r="A11" s="2" t="n"/>
      <c r="B11" s="3" t="n"/>
      <c r="C11" s="3" t="n"/>
      <c r="D11" s="3" t="n"/>
      <c r="E11" s="4" t="n"/>
      <c r="F11" s="5" t="n"/>
      <c r="G11" s="2" t="n"/>
      <c r="H11" s="5" t="n"/>
      <c r="I11" s="6">
        <f>IF(C11="","",IFERROR(ROUND(F11/G11,0),0))</f>
        <v/>
      </c>
      <c r="J11" s="6">
        <f>IF(C11="","",ROUND(I11/12,0))</f>
        <v/>
      </c>
      <c r="K11" s="6">
        <f>IF(C11="","",MIN(J11,MAX(0,F11-H11)))</f>
        <v/>
      </c>
      <c r="L11" s="6">
        <f>IF(C11="","",H11+K11)</f>
        <v/>
      </c>
      <c r="M11" s="6">
        <f>IF(C11="","",F11-L11)</f>
        <v/>
      </c>
      <c r="N11" s="7">
        <f>IF(C11="","",IFERROR(L11/F11,0))</f>
        <v/>
      </c>
      <c r="O11" s="8">
        <f>IF(C11="","",IF(F11&lt;30000000,"Dưới 30 triệu - không đủ tiêu chuẩn TSCĐ",IF(M11&lt;=0,"Đã khấu hao hết",IF(N11&gt;=0.9,"Sắp khấu hao hết - lên kế hoạch thay thế","Đang khấu hao"))))</f>
        <v/>
      </c>
    </row>
    <row r="12">
      <c r="A12" s="2" t="n"/>
      <c r="B12" s="3" t="n"/>
      <c r="C12" s="3" t="n"/>
      <c r="D12" s="3" t="n"/>
      <c r="E12" s="4" t="n"/>
      <c r="F12" s="5" t="n"/>
      <c r="G12" s="2" t="n"/>
      <c r="H12" s="5" t="n"/>
      <c r="I12" s="6">
        <f>IF(C12="","",IFERROR(ROUND(F12/G12,0),0))</f>
        <v/>
      </c>
      <c r="J12" s="6">
        <f>IF(C12="","",ROUND(I12/12,0))</f>
        <v/>
      </c>
      <c r="K12" s="6">
        <f>IF(C12="","",MIN(J12,MAX(0,F12-H12)))</f>
        <v/>
      </c>
      <c r="L12" s="6">
        <f>IF(C12="","",H12+K12)</f>
        <v/>
      </c>
      <c r="M12" s="6">
        <f>IF(C12="","",F12-L12)</f>
        <v/>
      </c>
      <c r="N12" s="7">
        <f>IF(C12="","",IFERROR(L12/F12,0))</f>
        <v/>
      </c>
      <c r="O12" s="8">
        <f>IF(C12="","",IF(F12&lt;30000000,"Dưới 30 triệu - không đủ tiêu chuẩn TSCĐ",IF(M12&lt;=0,"Đã khấu hao hết",IF(N12&gt;=0.9,"Sắp khấu hao hết - lên kế hoạch thay thế","Đang khấu hao"))))</f>
        <v/>
      </c>
    </row>
    <row r="13">
      <c r="A13" s="2" t="n"/>
      <c r="B13" s="3" t="n"/>
      <c r="C13" s="3" t="n"/>
      <c r="D13" s="3" t="n"/>
      <c r="E13" s="4" t="n"/>
      <c r="F13" s="5" t="n"/>
      <c r="G13" s="2" t="n"/>
      <c r="H13" s="5" t="n"/>
      <c r="I13" s="6">
        <f>IF(C13="","",IFERROR(ROUND(F13/G13,0),0))</f>
        <v/>
      </c>
      <c r="J13" s="6">
        <f>IF(C13="","",ROUND(I13/12,0))</f>
        <v/>
      </c>
      <c r="K13" s="6">
        <f>IF(C13="","",MIN(J13,MAX(0,F13-H13)))</f>
        <v/>
      </c>
      <c r="L13" s="6">
        <f>IF(C13="","",H13+K13)</f>
        <v/>
      </c>
      <c r="M13" s="6">
        <f>IF(C13="","",F13-L13)</f>
        <v/>
      </c>
      <c r="N13" s="7">
        <f>IF(C13="","",IFERROR(L13/F13,0))</f>
        <v/>
      </c>
      <c r="O13" s="8">
        <f>IF(C13="","",IF(F13&lt;30000000,"Dưới 30 triệu - không đủ tiêu chuẩn TSCĐ",IF(M13&lt;=0,"Đã khấu hao hết",IF(N13&gt;=0.9,"Sắp khấu hao hết - lên kế hoạch thay thế","Đang khấu hao"))))</f>
        <v/>
      </c>
    </row>
    <row r="14">
      <c r="A14" s="2" t="n"/>
      <c r="B14" s="3" t="n"/>
      <c r="C14" s="3" t="n"/>
      <c r="D14" s="3" t="n"/>
      <c r="E14" s="4" t="n"/>
      <c r="F14" s="5" t="n"/>
      <c r="G14" s="2" t="n"/>
      <c r="H14" s="5" t="n"/>
      <c r="I14" s="6">
        <f>IF(C14="","",IFERROR(ROUND(F14/G14,0),0))</f>
        <v/>
      </c>
      <c r="J14" s="6">
        <f>IF(C14="","",ROUND(I14/12,0))</f>
        <v/>
      </c>
      <c r="K14" s="6">
        <f>IF(C14="","",MIN(J14,MAX(0,F14-H14)))</f>
        <v/>
      </c>
      <c r="L14" s="6">
        <f>IF(C14="","",H14+K14)</f>
        <v/>
      </c>
      <c r="M14" s="6">
        <f>IF(C14="","",F14-L14)</f>
        <v/>
      </c>
      <c r="N14" s="7">
        <f>IF(C14="","",IFERROR(L14/F14,0))</f>
        <v/>
      </c>
      <c r="O14" s="8">
        <f>IF(C14="","",IF(F14&lt;30000000,"Dưới 30 triệu - không đủ tiêu chuẩn TSCĐ",IF(M14&lt;=0,"Đã khấu hao hết",IF(N14&gt;=0.9,"Sắp khấu hao hết - lên kế hoạch thay thế","Đang khấu hao"))))</f>
        <v/>
      </c>
    </row>
    <row r="15">
      <c r="A15" s="2" t="n"/>
      <c r="B15" s="3" t="n"/>
      <c r="C15" s="3" t="n"/>
      <c r="D15" s="3" t="n"/>
      <c r="E15" s="4" t="n"/>
      <c r="F15" s="5" t="n"/>
      <c r="G15" s="2" t="n"/>
      <c r="H15" s="5" t="n"/>
      <c r="I15" s="6">
        <f>IF(C15="","",IFERROR(ROUND(F15/G15,0),0))</f>
        <v/>
      </c>
      <c r="J15" s="6">
        <f>IF(C15="","",ROUND(I15/12,0))</f>
        <v/>
      </c>
      <c r="K15" s="6">
        <f>IF(C15="","",MIN(J15,MAX(0,F15-H15)))</f>
        <v/>
      </c>
      <c r="L15" s="6">
        <f>IF(C15="","",H15+K15)</f>
        <v/>
      </c>
      <c r="M15" s="6">
        <f>IF(C15="","",F15-L15)</f>
        <v/>
      </c>
      <c r="N15" s="7">
        <f>IF(C15="","",IFERROR(L15/F15,0))</f>
        <v/>
      </c>
      <c r="O15" s="8">
        <f>IF(C15="","",IF(F15&lt;30000000,"Dưới 30 triệu - không đủ tiêu chuẩn TSCĐ",IF(M15&lt;=0,"Đã khấu hao hết",IF(N15&gt;=0.9,"Sắp khấu hao hết - lên kế hoạch thay thế","Đang khấu hao"))))</f>
        <v/>
      </c>
    </row>
    <row r="16">
      <c r="A16" s="2" t="n"/>
      <c r="B16" s="3" t="n"/>
      <c r="C16" s="3" t="n"/>
      <c r="D16" s="3" t="n"/>
      <c r="E16" s="4" t="n"/>
      <c r="F16" s="5" t="n"/>
      <c r="G16" s="2" t="n"/>
      <c r="H16" s="5" t="n"/>
      <c r="I16" s="6">
        <f>IF(C16="","",IFERROR(ROUND(F16/G16,0),0))</f>
        <v/>
      </c>
      <c r="J16" s="6">
        <f>IF(C16="","",ROUND(I16/12,0))</f>
        <v/>
      </c>
      <c r="K16" s="6">
        <f>IF(C16="","",MIN(J16,MAX(0,F16-H16)))</f>
        <v/>
      </c>
      <c r="L16" s="6">
        <f>IF(C16="","",H16+K16)</f>
        <v/>
      </c>
      <c r="M16" s="6">
        <f>IF(C16="","",F16-L16)</f>
        <v/>
      </c>
      <c r="N16" s="7">
        <f>IF(C16="","",IFERROR(L16/F16,0))</f>
        <v/>
      </c>
      <c r="O16" s="8">
        <f>IF(C16="","",IF(F16&lt;30000000,"Dưới 30 triệu - không đủ tiêu chuẩn TSCĐ",IF(M16&lt;=0,"Đã khấu hao hết",IF(N16&gt;=0.9,"Sắp khấu hao hết - lên kế hoạch thay thế","Đang khấu hao"))))</f>
        <v/>
      </c>
    </row>
    <row r="17">
      <c r="A17" s="2" t="n"/>
      <c r="B17" s="3" t="n"/>
      <c r="C17" s="3" t="n"/>
      <c r="D17" s="3" t="n"/>
      <c r="E17" s="4" t="n"/>
      <c r="F17" s="5" t="n"/>
      <c r="G17" s="2" t="n"/>
      <c r="H17" s="5" t="n"/>
      <c r="I17" s="6">
        <f>IF(C17="","",IFERROR(ROUND(F17/G17,0),0))</f>
        <v/>
      </c>
      <c r="J17" s="6">
        <f>IF(C17="","",ROUND(I17/12,0))</f>
        <v/>
      </c>
      <c r="K17" s="6">
        <f>IF(C17="","",MIN(J17,MAX(0,F17-H17)))</f>
        <v/>
      </c>
      <c r="L17" s="6">
        <f>IF(C17="","",H17+K17)</f>
        <v/>
      </c>
      <c r="M17" s="6">
        <f>IF(C17="","",F17-L17)</f>
        <v/>
      </c>
      <c r="N17" s="7">
        <f>IF(C17="","",IFERROR(L17/F17,0))</f>
        <v/>
      </c>
      <c r="O17" s="8">
        <f>IF(C17="","",IF(F17&lt;30000000,"Dưới 30 triệu - không đủ tiêu chuẩn TSCĐ",IF(M17&lt;=0,"Đã khấu hao hết",IF(N17&gt;=0.9,"Sắp khấu hao hết - lên kế hoạch thay thế","Đang khấu hao"))))</f>
        <v/>
      </c>
    </row>
    <row r="18">
      <c r="A18" s="2" t="n"/>
      <c r="B18" s="3" t="n"/>
      <c r="C18" s="3" t="n"/>
      <c r="D18" s="3" t="n"/>
      <c r="E18" s="4" t="n"/>
      <c r="F18" s="5" t="n"/>
      <c r="G18" s="2" t="n"/>
      <c r="H18" s="5" t="n"/>
      <c r="I18" s="6">
        <f>IF(C18="","",IFERROR(ROUND(F18/G18,0),0))</f>
        <v/>
      </c>
      <c r="J18" s="6">
        <f>IF(C18="","",ROUND(I18/12,0))</f>
        <v/>
      </c>
      <c r="K18" s="6">
        <f>IF(C18="","",MIN(J18,MAX(0,F18-H18)))</f>
        <v/>
      </c>
      <c r="L18" s="6">
        <f>IF(C18="","",H18+K18)</f>
        <v/>
      </c>
      <c r="M18" s="6">
        <f>IF(C18="","",F18-L18)</f>
        <v/>
      </c>
      <c r="N18" s="7">
        <f>IF(C18="","",IFERROR(L18/F18,0))</f>
        <v/>
      </c>
      <c r="O18" s="8">
        <f>IF(C18="","",IF(F18&lt;30000000,"Dưới 30 triệu - không đủ tiêu chuẩn TSCĐ",IF(M18&lt;=0,"Đã khấu hao hết",IF(N18&gt;=0.9,"Sắp khấu hao hết - lên kế hoạch thay thế","Đang khấu hao"))))</f>
        <v/>
      </c>
    </row>
    <row r="19">
      <c r="A19" s="2" t="n"/>
      <c r="B19" s="3" t="n"/>
      <c r="C19" s="3" t="n"/>
      <c r="D19" s="3" t="n"/>
      <c r="E19" s="4" t="n"/>
      <c r="F19" s="5" t="n"/>
      <c r="G19" s="2" t="n"/>
      <c r="H19" s="5" t="n"/>
      <c r="I19" s="6">
        <f>IF(C19="","",IFERROR(ROUND(F19/G19,0),0))</f>
        <v/>
      </c>
      <c r="J19" s="6">
        <f>IF(C19="","",ROUND(I19/12,0))</f>
        <v/>
      </c>
      <c r="K19" s="6">
        <f>IF(C19="","",MIN(J19,MAX(0,F19-H19)))</f>
        <v/>
      </c>
      <c r="L19" s="6">
        <f>IF(C19="","",H19+K19)</f>
        <v/>
      </c>
      <c r="M19" s="6">
        <f>IF(C19="","",F19-L19)</f>
        <v/>
      </c>
      <c r="N19" s="7">
        <f>IF(C19="","",IFERROR(L19/F19,0))</f>
        <v/>
      </c>
      <c r="O19" s="8">
        <f>IF(C19="","",IF(F19&lt;30000000,"Dưới 30 triệu - không đủ tiêu chuẩn TSCĐ",IF(M19&lt;=0,"Đã khấu hao hết",IF(N19&gt;=0.9,"Sắp khấu hao hết - lên kế hoạch thay thế","Đang khấu hao"))))</f>
        <v/>
      </c>
    </row>
    <row r="20">
      <c r="A20" s="2" t="n"/>
      <c r="B20" s="3" t="n"/>
      <c r="C20" s="3" t="n"/>
      <c r="D20" s="3" t="n"/>
      <c r="E20" s="4" t="n"/>
      <c r="F20" s="5" t="n"/>
      <c r="G20" s="2" t="n"/>
      <c r="H20" s="5" t="n"/>
      <c r="I20" s="6">
        <f>IF(C20="","",IFERROR(ROUND(F20/G20,0),0))</f>
        <v/>
      </c>
      <c r="J20" s="6">
        <f>IF(C20="","",ROUND(I20/12,0))</f>
        <v/>
      </c>
      <c r="K20" s="6">
        <f>IF(C20="","",MIN(J20,MAX(0,F20-H20)))</f>
        <v/>
      </c>
      <c r="L20" s="6">
        <f>IF(C20="","",H20+K20)</f>
        <v/>
      </c>
      <c r="M20" s="6">
        <f>IF(C20="","",F20-L20)</f>
        <v/>
      </c>
      <c r="N20" s="7">
        <f>IF(C20="","",IFERROR(L20/F20,0))</f>
        <v/>
      </c>
      <c r="O20" s="8">
        <f>IF(C20="","",IF(F20&lt;30000000,"Dưới 30 triệu - không đủ tiêu chuẩn TSCĐ",IF(M20&lt;=0,"Đã khấu hao hết",IF(N20&gt;=0.9,"Sắp khấu hao hết - lên kế hoạch thay thế","Đang khấu hao"))))</f>
        <v/>
      </c>
    </row>
    <row r="21">
      <c r="A21" s="2" t="n"/>
      <c r="B21" s="3" t="n"/>
      <c r="C21" s="3" t="n"/>
      <c r="D21" s="3" t="n"/>
      <c r="E21" s="4" t="n"/>
      <c r="F21" s="5" t="n"/>
      <c r="G21" s="2" t="n"/>
      <c r="H21" s="5" t="n"/>
      <c r="I21" s="6">
        <f>IF(C21="","",IFERROR(ROUND(F21/G21,0),0))</f>
        <v/>
      </c>
      <c r="J21" s="6">
        <f>IF(C21="","",ROUND(I21/12,0))</f>
        <v/>
      </c>
      <c r="K21" s="6">
        <f>IF(C21="","",MIN(J21,MAX(0,F21-H21)))</f>
        <v/>
      </c>
      <c r="L21" s="6">
        <f>IF(C21="","",H21+K21)</f>
        <v/>
      </c>
      <c r="M21" s="6">
        <f>IF(C21="","",F21-L21)</f>
        <v/>
      </c>
      <c r="N21" s="7">
        <f>IF(C21="","",IFERROR(L21/F21,0))</f>
        <v/>
      </c>
      <c r="O21" s="8">
        <f>IF(C21="","",IF(F21&lt;30000000,"Dưới 30 triệu - không đủ tiêu chuẩn TSCĐ",IF(M21&lt;=0,"Đã khấu hao hết",IF(N21&gt;=0.9,"Sắp khấu hao hết - lên kế hoạch thay thế","Đang khấu hao"))))</f>
        <v/>
      </c>
    </row>
    <row r="22">
      <c r="A22" s="2" t="n"/>
      <c r="B22" s="3" t="n"/>
      <c r="C22" s="3" t="n"/>
      <c r="D22" s="3" t="n"/>
      <c r="E22" s="4" t="n"/>
      <c r="F22" s="5" t="n"/>
      <c r="G22" s="2" t="n"/>
      <c r="H22" s="5" t="n"/>
      <c r="I22" s="6">
        <f>IF(C22="","",IFERROR(ROUND(F22/G22,0),0))</f>
        <v/>
      </c>
      <c r="J22" s="6">
        <f>IF(C22="","",ROUND(I22/12,0))</f>
        <v/>
      </c>
      <c r="K22" s="6">
        <f>IF(C22="","",MIN(J22,MAX(0,F22-H22)))</f>
        <v/>
      </c>
      <c r="L22" s="6">
        <f>IF(C22="","",H22+K22)</f>
        <v/>
      </c>
      <c r="M22" s="6">
        <f>IF(C22="","",F22-L22)</f>
        <v/>
      </c>
      <c r="N22" s="7">
        <f>IF(C22="","",IFERROR(L22/F22,0))</f>
        <v/>
      </c>
      <c r="O22" s="8">
        <f>IF(C22="","",IF(F22&lt;30000000,"Dưới 30 triệu - không đủ tiêu chuẩn TSCĐ",IF(M22&lt;=0,"Đã khấu hao hết",IF(N22&gt;=0.9,"Sắp khấu hao hết - lên kế hoạch thay thế","Đang khấu hao"))))</f>
        <v/>
      </c>
    </row>
    <row r="23">
      <c r="A23" s="2" t="n"/>
      <c r="B23" s="3" t="n"/>
      <c r="C23" s="3" t="n"/>
      <c r="D23" s="3" t="n"/>
      <c r="E23" s="4" t="n"/>
      <c r="F23" s="5" t="n"/>
      <c r="G23" s="2" t="n"/>
      <c r="H23" s="5" t="n"/>
      <c r="I23" s="6">
        <f>IF(C23="","",IFERROR(ROUND(F23/G23,0),0))</f>
        <v/>
      </c>
      <c r="J23" s="6">
        <f>IF(C23="","",ROUND(I23/12,0))</f>
        <v/>
      </c>
      <c r="K23" s="6">
        <f>IF(C23="","",MIN(J23,MAX(0,F23-H23)))</f>
        <v/>
      </c>
      <c r="L23" s="6">
        <f>IF(C23="","",H23+K23)</f>
        <v/>
      </c>
      <c r="M23" s="6">
        <f>IF(C23="","",F23-L23)</f>
        <v/>
      </c>
      <c r="N23" s="7">
        <f>IF(C23="","",IFERROR(L23/F23,0))</f>
        <v/>
      </c>
      <c r="O23" s="8">
        <f>IF(C23="","",IF(F23&lt;30000000,"Dưới 30 triệu - không đủ tiêu chuẩn TSCĐ",IF(M23&lt;=0,"Đã khấu hao hết",IF(N23&gt;=0.9,"Sắp khấu hao hết - lên kế hoạch thay thế","Đang khấu hao"))))</f>
        <v/>
      </c>
    </row>
    <row r="24">
      <c r="A24" s="2" t="n"/>
      <c r="B24" s="3" t="n"/>
      <c r="C24" s="3" t="n"/>
      <c r="D24" s="3" t="n"/>
      <c r="E24" s="4" t="n"/>
      <c r="F24" s="5" t="n"/>
      <c r="G24" s="2" t="n"/>
      <c r="H24" s="5" t="n"/>
      <c r="I24" s="6">
        <f>IF(C24="","",IFERROR(ROUND(F24/G24,0),0))</f>
        <v/>
      </c>
      <c r="J24" s="6">
        <f>IF(C24="","",ROUND(I24/12,0))</f>
        <v/>
      </c>
      <c r="K24" s="6">
        <f>IF(C24="","",MIN(J24,MAX(0,F24-H24)))</f>
        <v/>
      </c>
      <c r="L24" s="6">
        <f>IF(C24="","",H24+K24)</f>
        <v/>
      </c>
      <c r="M24" s="6">
        <f>IF(C24="","",F24-L24)</f>
        <v/>
      </c>
      <c r="N24" s="7">
        <f>IF(C24="","",IFERROR(L24/F24,0))</f>
        <v/>
      </c>
      <c r="O24" s="8">
        <f>IF(C24="","",IF(F24&lt;30000000,"Dưới 30 triệu - không đủ tiêu chuẩn TSCĐ",IF(M24&lt;=0,"Đã khấu hao hết",IF(N24&gt;=0.9,"Sắp khấu hao hết - lên kế hoạch thay thế","Đang khấu hao"))))</f>
        <v/>
      </c>
    </row>
    <row r="25">
      <c r="A25" s="2" t="n"/>
      <c r="B25" s="3" t="n"/>
      <c r="C25" s="3" t="n"/>
      <c r="D25" s="3" t="n"/>
      <c r="E25" s="4" t="n"/>
      <c r="F25" s="5" t="n"/>
      <c r="G25" s="2" t="n"/>
      <c r="H25" s="5" t="n"/>
      <c r="I25" s="6">
        <f>IF(C25="","",IFERROR(ROUND(F25/G25,0),0))</f>
        <v/>
      </c>
      <c r="J25" s="6">
        <f>IF(C25="","",ROUND(I25/12,0))</f>
        <v/>
      </c>
      <c r="K25" s="6">
        <f>IF(C25="","",MIN(J25,MAX(0,F25-H25)))</f>
        <v/>
      </c>
      <c r="L25" s="6">
        <f>IF(C25="","",H25+K25)</f>
        <v/>
      </c>
      <c r="M25" s="6">
        <f>IF(C25="","",F25-L25)</f>
        <v/>
      </c>
      <c r="N25" s="7">
        <f>IF(C25="","",IFERROR(L25/F25,0))</f>
        <v/>
      </c>
      <c r="O25" s="8">
        <f>IF(C25="","",IF(F25&lt;30000000,"Dưới 30 triệu - không đủ tiêu chuẩn TSCĐ",IF(M25&lt;=0,"Đã khấu hao hết",IF(N25&gt;=0.9,"Sắp khấu hao hết - lên kế hoạch thay thế","Đang khấu hao"))))</f>
        <v/>
      </c>
    </row>
    <row r="26">
      <c r="A26" s="2" t="n"/>
      <c r="B26" s="3" t="n"/>
      <c r="C26" s="3" t="n"/>
      <c r="D26" s="3" t="n"/>
      <c r="E26" s="4" t="n"/>
      <c r="F26" s="5" t="n"/>
      <c r="G26" s="2" t="n"/>
      <c r="H26" s="5" t="n"/>
      <c r="I26" s="6">
        <f>IF(C26="","",IFERROR(ROUND(F26/G26,0),0))</f>
        <v/>
      </c>
      <c r="J26" s="6">
        <f>IF(C26="","",ROUND(I26/12,0))</f>
        <v/>
      </c>
      <c r="K26" s="6">
        <f>IF(C26="","",MIN(J26,MAX(0,F26-H26)))</f>
        <v/>
      </c>
      <c r="L26" s="6">
        <f>IF(C26="","",H26+K26)</f>
        <v/>
      </c>
      <c r="M26" s="6">
        <f>IF(C26="","",F26-L26)</f>
        <v/>
      </c>
      <c r="N26" s="7">
        <f>IF(C26="","",IFERROR(L26/F26,0))</f>
        <v/>
      </c>
      <c r="O26" s="8">
        <f>IF(C26="","",IF(F26&lt;30000000,"Dưới 30 triệu - không đủ tiêu chuẩn TSCĐ",IF(M26&lt;=0,"Đã khấu hao hết",IF(N26&gt;=0.9,"Sắp khấu hao hết - lên kế hoạch thay thế","Đang khấu hao"))))</f>
        <v/>
      </c>
    </row>
    <row r="27">
      <c r="A27" s="2" t="n"/>
      <c r="B27" s="3" t="n"/>
      <c r="C27" s="3" t="n"/>
      <c r="D27" s="3" t="n"/>
      <c r="E27" s="4" t="n"/>
      <c r="F27" s="5" t="n"/>
      <c r="G27" s="2" t="n"/>
      <c r="H27" s="5" t="n"/>
      <c r="I27" s="6">
        <f>IF(C27="","",IFERROR(ROUND(F27/G27,0),0))</f>
        <v/>
      </c>
      <c r="J27" s="6">
        <f>IF(C27="","",ROUND(I27/12,0))</f>
        <v/>
      </c>
      <c r="K27" s="6">
        <f>IF(C27="","",MIN(J27,MAX(0,F27-H27)))</f>
        <v/>
      </c>
      <c r="L27" s="6">
        <f>IF(C27="","",H27+K27)</f>
        <v/>
      </c>
      <c r="M27" s="6">
        <f>IF(C27="","",F27-L27)</f>
        <v/>
      </c>
      <c r="N27" s="7">
        <f>IF(C27="","",IFERROR(L27/F27,0))</f>
        <v/>
      </c>
      <c r="O27" s="8">
        <f>IF(C27="","",IF(F27&lt;30000000,"Dưới 30 triệu - không đủ tiêu chuẩn TSCĐ",IF(M27&lt;=0,"Đã khấu hao hết",IF(N27&gt;=0.9,"Sắp khấu hao hết - lên kế hoạch thay thế","Đang khấu hao"))))</f>
        <v/>
      </c>
    </row>
    <row r="28">
      <c r="A28" s="2" t="n"/>
      <c r="B28" s="3" t="n"/>
      <c r="C28" s="3" t="n"/>
      <c r="D28" s="3" t="n"/>
      <c r="E28" s="4" t="n"/>
      <c r="F28" s="5" t="n"/>
      <c r="G28" s="2" t="n"/>
      <c r="H28" s="5" t="n"/>
      <c r="I28" s="6">
        <f>IF(C28="","",IFERROR(ROUND(F28/G28,0),0))</f>
        <v/>
      </c>
      <c r="J28" s="6">
        <f>IF(C28="","",ROUND(I28/12,0))</f>
        <v/>
      </c>
      <c r="K28" s="6">
        <f>IF(C28="","",MIN(J28,MAX(0,F28-H28)))</f>
        <v/>
      </c>
      <c r="L28" s="6">
        <f>IF(C28="","",H28+K28)</f>
        <v/>
      </c>
      <c r="M28" s="6">
        <f>IF(C28="","",F28-L28)</f>
        <v/>
      </c>
      <c r="N28" s="7">
        <f>IF(C28="","",IFERROR(L28/F28,0))</f>
        <v/>
      </c>
      <c r="O28" s="8">
        <f>IF(C28="","",IF(F28&lt;30000000,"Dưới 30 triệu - không đủ tiêu chuẩn TSCĐ",IF(M28&lt;=0,"Đã khấu hao hết",IF(N28&gt;=0.9,"Sắp khấu hao hết - lên kế hoạch thay thế","Đang khấu hao"))))</f>
        <v/>
      </c>
    </row>
    <row r="29">
      <c r="A29" s="2" t="n"/>
      <c r="B29" s="3" t="n"/>
      <c r="C29" s="3" t="n"/>
      <c r="D29" s="3" t="n"/>
      <c r="E29" s="4" t="n"/>
      <c r="F29" s="5" t="n"/>
      <c r="G29" s="2" t="n"/>
      <c r="H29" s="5" t="n"/>
      <c r="I29" s="6">
        <f>IF(C29="","",IFERROR(ROUND(F29/G29,0),0))</f>
        <v/>
      </c>
      <c r="J29" s="6">
        <f>IF(C29="","",ROUND(I29/12,0))</f>
        <v/>
      </c>
      <c r="K29" s="6">
        <f>IF(C29="","",MIN(J29,MAX(0,F29-H29)))</f>
        <v/>
      </c>
      <c r="L29" s="6">
        <f>IF(C29="","",H29+K29)</f>
        <v/>
      </c>
      <c r="M29" s="6">
        <f>IF(C29="","",F29-L29)</f>
        <v/>
      </c>
      <c r="N29" s="7">
        <f>IF(C29="","",IFERROR(L29/F29,0))</f>
        <v/>
      </c>
      <c r="O29" s="8">
        <f>IF(C29="","",IF(F29&lt;30000000,"Dưới 30 triệu - không đủ tiêu chuẩn TSCĐ",IF(M29&lt;=0,"Đã khấu hao hết",IF(N29&gt;=0.9,"Sắp khấu hao hết - lên kế hoạch thay thế","Đang khấu hao"))))</f>
        <v/>
      </c>
    </row>
    <row r="30">
      <c r="A30" s="2" t="n"/>
      <c r="B30" s="3" t="n"/>
      <c r="C30" s="3" t="n"/>
      <c r="D30" s="3" t="n"/>
      <c r="E30" s="4" t="n"/>
      <c r="F30" s="5" t="n"/>
      <c r="G30" s="2" t="n"/>
      <c r="H30" s="5" t="n"/>
      <c r="I30" s="6">
        <f>IF(C30="","",IFERROR(ROUND(F30/G30,0),0))</f>
        <v/>
      </c>
      <c r="J30" s="6">
        <f>IF(C30="","",ROUND(I30/12,0))</f>
        <v/>
      </c>
      <c r="K30" s="6">
        <f>IF(C30="","",MIN(J30,MAX(0,F30-H30)))</f>
        <v/>
      </c>
      <c r="L30" s="6">
        <f>IF(C30="","",H30+K30)</f>
        <v/>
      </c>
      <c r="M30" s="6">
        <f>IF(C30="","",F30-L30)</f>
        <v/>
      </c>
      <c r="N30" s="7">
        <f>IF(C30="","",IFERROR(L30/F30,0))</f>
        <v/>
      </c>
      <c r="O30" s="8">
        <f>IF(C30="","",IF(F30&lt;30000000,"Dưới 30 triệu - không đủ tiêu chuẩn TSCĐ",IF(M30&lt;=0,"Đã khấu hao hết",IF(N30&gt;=0.9,"Sắp khấu hao hết - lên kế hoạch thay thế","Đang khấu hao"))))</f>
        <v/>
      </c>
    </row>
    <row r="31">
      <c r="A31" s="2" t="n"/>
      <c r="B31" s="3" t="n"/>
      <c r="C31" s="3" t="n"/>
      <c r="D31" s="3" t="n"/>
      <c r="E31" s="4" t="n"/>
      <c r="F31" s="5" t="n"/>
      <c r="G31" s="2" t="n"/>
      <c r="H31" s="5" t="n"/>
      <c r="I31" s="6">
        <f>IF(C31="","",IFERROR(ROUND(F31/G31,0),0))</f>
        <v/>
      </c>
      <c r="J31" s="6">
        <f>IF(C31="","",ROUND(I31/12,0))</f>
        <v/>
      </c>
      <c r="K31" s="6">
        <f>IF(C31="","",MIN(J31,MAX(0,F31-H31)))</f>
        <v/>
      </c>
      <c r="L31" s="6">
        <f>IF(C31="","",H31+K31)</f>
        <v/>
      </c>
      <c r="M31" s="6">
        <f>IF(C31="","",F31-L31)</f>
        <v/>
      </c>
      <c r="N31" s="7">
        <f>IF(C31="","",IFERROR(L31/F31,0))</f>
        <v/>
      </c>
      <c r="O31" s="8">
        <f>IF(C31="","",IF(F31&lt;30000000,"Dưới 30 triệu - không đủ tiêu chuẩn TSCĐ",IF(M31&lt;=0,"Đã khấu hao hết",IF(N31&gt;=0.9,"Sắp khấu hao hết - lên kế hoạch thay thế","Đang khấu hao"))))</f>
        <v/>
      </c>
    </row>
    <row r="32">
      <c r="A32" s="2" t="n"/>
      <c r="B32" s="3" t="n"/>
      <c r="C32" s="3" t="n"/>
      <c r="D32" s="3" t="n"/>
      <c r="E32" s="4" t="n"/>
      <c r="F32" s="5" t="n"/>
      <c r="G32" s="2" t="n"/>
      <c r="H32" s="5" t="n"/>
      <c r="I32" s="6">
        <f>IF(C32="","",IFERROR(ROUND(F32/G32,0),0))</f>
        <v/>
      </c>
      <c r="J32" s="6">
        <f>IF(C32="","",ROUND(I32/12,0))</f>
        <v/>
      </c>
      <c r="K32" s="6">
        <f>IF(C32="","",MIN(J32,MAX(0,F32-H32)))</f>
        <v/>
      </c>
      <c r="L32" s="6">
        <f>IF(C32="","",H32+K32)</f>
        <v/>
      </c>
      <c r="M32" s="6">
        <f>IF(C32="","",F32-L32)</f>
        <v/>
      </c>
      <c r="N32" s="7">
        <f>IF(C32="","",IFERROR(L32/F32,0))</f>
        <v/>
      </c>
      <c r="O32" s="8">
        <f>IF(C32="","",IF(F32&lt;30000000,"Dưới 30 triệu - không đủ tiêu chuẩn TSCĐ",IF(M32&lt;=0,"Đã khấu hao hết",IF(N32&gt;=0.9,"Sắp khấu hao hết - lên kế hoạch thay thế","Đang khấu hao"))))</f>
        <v/>
      </c>
    </row>
  </sheetData>
  <autoFilter ref="A1:O32"/>
  <dataValidations count="4">
    <dataValidation sqref="D2:D32" showDropDown="0" showInputMessage="0" showErrorMessage="0" allowBlank="1" errorTitle="Sai định dạng" error="Giá trị không hợp lệ cho cột này." type="list">
      <formula1>"Nhà cửa vật kiến trúc,Máy móc thiết bị,Phương tiện vận tải,Thiết bị văn phòng,Thiết bị quản lý,Tài sản vô hình"</formula1>
    </dataValidation>
    <dataValidation sqref="F2:F32" showDropDown="0" showInputMessage="0" showErrorMessage="0" allowBlank="1" errorTitle="Sai định dạng" error="Giá trị không hợp lệ cho cột này." type="decimal" operator="between">
      <formula1>0</formula1>
      <formula2>100000000000</formula2>
    </dataValidation>
    <dataValidation sqref="G2:G32" showDropDown="0" showInputMessage="0" showErrorMessage="0" allowBlank="1" errorTitle="Sai định dạng" error="Giá trị không hợp lệ cho cột này." type="decimal" operator="between">
      <formula1>1</formula1>
      <formula2>50</formula2>
    </dataValidation>
    <dataValidation sqref="H2:H32" showDropDown="0" showInputMessage="0" showErrorMessage="0" allowBlank="1" errorTitle="Sai định dạng" error="Giá trị không hợp lệ cho cột này." type="decimal" operator="between">
      <formula1>0</formula1>
      <formula2>100000000000</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B32"/>
  <sheetViews>
    <sheetView workbookViewId="0">
      <selection activeCell="A1" sqref="A1"/>
    </sheetView>
  </sheetViews>
  <sheetFormatPr baseColWidth="8" defaultRowHeight="15"/>
  <cols>
    <col width="4" customWidth="1" min="1" max="1"/>
    <col width="100" customWidth="1" min="2" max="2"/>
  </cols>
  <sheetData>
    <row r="1">
      <c r="B1" s="9" t="inlineStr">
        <is>
          <t>Mẫu Excel tính khấu hao tài sản cố định theo đường thẳng</t>
        </is>
      </c>
    </row>
    <row r="2">
      <c r="B2" s="10" t="inlineStr"/>
    </row>
    <row r="3">
      <c r="B3" s="11" t="inlineStr">
        <is>
          <t>CÁCH DÙNG</t>
        </is>
      </c>
    </row>
    <row r="4">
      <c r="B4" s="12" t="inlineStr">
        <is>
          <t>1. Khai danh mục tài sản đang có</t>
        </is>
      </c>
    </row>
    <row r="5">
      <c r="B5" s="10" t="inlineStr">
        <is>
          <t xml:space="preserve">   Mỗi tài sản một dòng: mã, tên, nhóm và ngày đưa vào sử dụng. Ngày đưa vào sử dụng là ngày tài sản bắt đầu dùng được, không phải ngày mua hay ngày trên hóa đơn — đây mới là mốc bắt đầu trích khấu hao.</t>
        </is>
      </c>
    </row>
    <row r="6">
      <c r="B6" s="12" t="inlineStr">
        <is>
          <t>2. Nhập nguyên giá và số năm khấu hao</t>
        </is>
      </c>
    </row>
    <row r="7">
      <c r="B7" s="10" t="inlineStr">
        <is>
          <t xml:space="preserve">   Nguyên giá gồm giá mua chưa thuế cộng chi phí vận chuyển, lắp đặt, chạy thử để tài sản dùng được. Số năm khấu hao phải nằm trong khung tối thiểu và tối đa mà chế độ quản lý TSCĐ quy định cho nhóm tài sản đó, doanh nghiệp tự chọn một con số trong khung rồi giữ nguyên suốt đời tài sản.</t>
        </is>
      </c>
    </row>
    <row r="8">
      <c r="B8" s="12" t="inlineStr">
        <is>
          <t>3. Nhập khấu hao lũy kế đầu kỳ</t>
        </is>
      </c>
    </row>
    <row r="9">
      <c r="B9" s="10" t="inlineStr">
        <is>
          <t xml:space="preserve">   Là số đã trích từ lúc đưa vào sử dụng tới đầu kỳ này. Tài sản mới mua trong kỳ thì để 0. Lấy số này từ bảng của kỳ trước, đừng ước lượng lại — mọi cột phía sau đều dựa vào nó.</t>
        </is>
      </c>
    </row>
    <row r="10">
      <c r="B10" s="12" t="inlineStr">
        <is>
          <t>4. Đọc cột khấu hao trong kỳ để hạch toán</t>
        </is>
      </c>
    </row>
    <row r="11">
      <c r="B11" s="10" t="inlineStr">
        <is>
          <t xml:space="preserve">   Cột này là số tiền được đưa vào chi phí của tháng, tổng cả cột chính là bút toán trích khấu hao tháng đó. Tài sản đã hết giá trị còn lại sẽ hiện 0 vì công thức có chặn trần, đúng như quy định không trích vượt nguyên giá.</t>
        </is>
      </c>
    </row>
    <row r="12">
      <c r="B12" s="12" t="inlineStr">
        <is>
          <t>5. Chuyển số sang kỳ sau</t>
        </is>
      </c>
    </row>
    <row r="13">
      <c r="B13" s="10" t="inlineStr">
        <is>
          <t xml:space="preserve">   Cuối tháng, chép cột Lũy kế cuối kỳ đè lên cột Lũy kế đầu kỳ bằng dán giá trị, rồi bảng sẵn sàng cho tháng tiếp theo. Chỉ dán giá trị, đừng dán công thức, nếu không cột đầu kỳ sẽ tự trỏ vòng lại chính nó.</t>
        </is>
      </c>
    </row>
    <row r="14">
      <c r="B14" s="10" t="inlineStr"/>
    </row>
    <row r="15">
      <c r="B15" s="11" t="inlineStr">
        <is>
          <t>CÔNG THỨC TRONG FILE</t>
        </is>
      </c>
    </row>
    <row r="16">
      <c r="B16" s="12" t="inlineStr">
        <is>
          <t>Mức khấu hao năm  —  =IF(C2="","",IFERROR(ROUND(F2/G2,0),0))</t>
        </is>
      </c>
    </row>
    <row r="17">
      <c r="B17" s="10" t="inlineStr">
        <is>
          <t xml:space="preserve">   Nguyên giá chia đều cho số năm sử dụng — chính là định nghĩa của phương pháp đường thẳng. Bọc IFERROR để dòng chưa nhập số năm không hiện lỗi #DIV/0! do chia cho 0.</t>
        </is>
      </c>
    </row>
    <row r="18">
      <c r="B18" s="12" t="inlineStr">
        <is>
          <t>Mức khấu hao tháng  —  =IF(C2="","",ROUND(I2/12,0))</t>
        </is>
      </c>
    </row>
    <row r="19">
      <c r="B19" s="10" t="inlineStr">
        <is>
          <t xml:space="preserve">   Mức năm chia cho 12, làm tròn tới đồng. Vì làm tròn nên tổng mười hai tháng có thể lệch vài đồng so với mức năm; phần lệch đó tan ở tháng cuối đời tài sản nhờ chặn trần ở cột bên cạnh.</t>
        </is>
      </c>
    </row>
    <row r="20">
      <c r="B20" s="12" t="inlineStr">
        <is>
          <t>Khấu hao trong kỳ  —  =IF(C2="","",MIN(J2,MAX(0,F2-H2)))</t>
        </is>
      </c>
    </row>
    <row r="21">
      <c r="B21" s="10" t="inlineStr">
        <is>
          <t xml:space="preserve">   Số thật sự đưa vào chi phí tháng này, và là cột dùng để hạch toán. Hàm MIN chặn trần theo phần giá trị chưa trích nên tài sản đã khấu hao hết trả về 0 thay vì trích tiếp; MAX(0,…) giữ cho trần không xuống âm khi lũy kế đầu kỳ bị nhập quá nguyên giá.</t>
        </is>
      </c>
    </row>
    <row r="22">
      <c r="B22" s="12" t="inlineStr">
        <is>
          <t>Lũy kế cuối kỳ  —  =IF(C2="","",H2+K2)</t>
        </is>
      </c>
    </row>
    <row r="23">
      <c r="B23" s="10" t="inlineStr">
        <is>
          <t xml:space="preserve">   Tổng đã trích từ lúc đưa vào sử dụng tới cuối kỳ này. Cuối tháng, chép cột này đè lên cột Lũy kế đầu kỳ bằng dán giá trị là bảng sẵn sàng cho tháng sau.</t>
        </is>
      </c>
    </row>
    <row r="24">
      <c r="B24" s="12" t="inlineStr">
        <is>
          <t>Giá trị còn lại  —  =IF(C2="","",F2-L2)</t>
        </is>
      </c>
    </row>
    <row r="25">
      <c r="B25" s="10" t="inlineStr">
        <is>
          <t xml:space="preserve">   Nguyên giá trừ lũy kế đã trích. Đây là con số phải khớp với giá trị còn lại của tài sản cố định trên bảng cân đối kế toán, nên tổng cột này là chỗ đối chiếu đầu tiên khi số liệu lệch.</t>
        </is>
      </c>
    </row>
    <row r="26">
      <c r="B26" s="12" t="inlineStr">
        <is>
          <t>Đã khấu hao  —  =IF(C2="","",IFERROR(L2/F2,0))</t>
        </is>
      </c>
    </row>
    <row r="27">
      <c r="B27" s="10" t="inlineStr">
        <is>
          <t xml:space="preserve">   Phần trăm nguyên giá đã chuyển thành chi phí. Đọc nhanh hơn con số tuyệt đối khi so các tài sản có nguyên giá chênh nhau hàng chục lần, và là căn cứ để xếp thứ tự ưu tiên thay thế.</t>
        </is>
      </c>
    </row>
    <row r="28">
      <c r="B28" s="12" t="inlineStr">
        <is>
          <t>Cảnh báo  —  =IF(C2="","",IF(F2&lt;30000000,"Dưới 30 triệu - không đủ tiêu chuẩn TSCĐ",IF(M2&lt;=0,"Đã khấu hao hết",IF(N2&gt;=0.9,"Sắp khấu hao hết - lên kế hoạch thay thế","Đang khấu hao"))))</t>
        </is>
      </c>
    </row>
    <row r="29">
      <c r="B29" s="10" t="inlineStr">
        <is>
          <t xml:space="preserve">   Xét tiêu chuẩn ghi nhận trước, tình trạng khấu hao sau. Dòng dưới 30 triệu bị nhắc trước tiên vì nếu đúng vậy thì cả dòng đó không nên nằm trong bảng khấu hao — nó là công cụ dụng cụ, phân bổ dần vào chi phí trả trước chứ không trích khấu hao.</t>
        </is>
      </c>
    </row>
    <row r="30">
      <c r="B30" s="10" t="inlineStr"/>
    </row>
    <row r="31">
      <c r="B31" s="12" t="inlineStr">
        <is>
          <t>Bản cập nhật mới nhất và hướng dẫn chi tiết:</t>
        </is>
      </c>
    </row>
    <row r="32">
      <c r="B32" s="13" t="inlineStr">
        <is>
          <t>https://excel.nguyenvietloc.com/mau-excel/ke-toan/bang-tinh-khau-hao-tai-san-co-dinh</t>
        </is>
      </c>
    </row>
  </sheetData>
  <hyperlinks>
    <hyperlink xmlns:r="http://schemas.openxmlformats.org/officeDocument/2006/relationships" ref="B3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2026-08-10T14:33:15Z</dcterms:created>
  <dcterms:modified xsi:type="dcterms:W3CDTF">2026-08-10T14:33:15Z</dcterms:modified>
</cp:coreProperties>
</file>