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KR theo quý" sheetId="1" state="visible" r:id="rId1"/>
    <sheet name="Hướng dẫn" sheetId="2" state="visible" r:id="rId2"/>
  </sheets>
  <definedNames>
    <definedName name="_xlnm._FilterDatabase" localSheetId="0" hidden="1">'OKR theo quý'!$A$1:$M$32</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quan-ly-cong-viec/bang-theo-doi-muc-tieu-okr" TargetMode="External" Id="rId1" /></Relationships>
</file>

<file path=xl/worksheets/sheet1.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34" customWidth="1" min="3" max="3"/>
    <col width="36" customWidth="1" min="4" max="4"/>
    <col width="20" customWidth="1" min="5" max="5"/>
    <col width="14" customWidth="1" min="6" max="6"/>
    <col width="13" customWidth="1" min="7" max="7"/>
    <col width="13" customWidth="1" min="8" max="8"/>
    <col width="13" customWidth="1" min="9" max="9"/>
    <col width="10" customWidth="1" min="10" max="10"/>
    <col width="12" customWidth="1" min="11" max="11"/>
    <col width="14" customWidth="1" min="12" max="12"/>
    <col width="24" customWidth="1" min="13" max="13"/>
  </cols>
  <sheetData>
    <row r="1" ht="32" customHeight="1">
      <c r="A1" s="1" t="inlineStr">
        <is>
          <t>STT</t>
        </is>
      </c>
      <c r="B1" s="1" t="inlineStr">
        <is>
          <t>Chu kỳ</t>
        </is>
      </c>
      <c r="C1" s="1" t="inlineStr">
        <is>
          <t>Mục tiêu (O)</t>
        </is>
      </c>
      <c r="D1" s="1" t="inlineStr">
        <is>
          <t>Kết quả then chốt (KR)</t>
        </is>
      </c>
      <c r="E1" s="1" t="inlineStr">
        <is>
          <t>Người phụ trách</t>
        </is>
      </c>
      <c r="F1" s="1" t="inlineStr">
        <is>
          <t>Đơn vị đo</t>
        </is>
      </c>
      <c r="G1" s="1" t="inlineStr">
        <is>
          <t>Giá trị đầu kỳ</t>
        </is>
      </c>
      <c r="H1" s="1" t="inlineStr">
        <is>
          <t>Giá trị mục tiêu</t>
        </is>
      </c>
      <c r="I1" s="1" t="inlineStr">
        <is>
          <t>Giá trị hiện tại</t>
        </is>
      </c>
      <c r="J1" s="1" t="inlineStr">
        <is>
          <t>Trọng số</t>
        </is>
      </c>
      <c r="K1" s="1" t="inlineStr">
        <is>
          <t>Tiến độ KR</t>
        </is>
      </c>
      <c r="L1" s="1" t="inlineStr">
        <is>
          <t>Điểm có trọng số</t>
        </is>
      </c>
      <c r="M1" s="1" t="inlineStr">
        <is>
          <t>Xếp loại</t>
        </is>
      </c>
    </row>
    <row r="2">
      <c r="A2" s="2" t="n">
        <v>1</v>
      </c>
      <c r="B2" s="3" t="inlineStr">
        <is>
          <t>Quý III/2026</t>
        </is>
      </c>
      <c r="C2" s="3" t="inlineStr">
        <is>
          <t>Mở rộng tệp khách hàng doanh nghiệp</t>
        </is>
      </c>
      <c r="D2" s="3" t="inlineStr">
        <is>
          <t>Ký mới 25 hợp đồng doanh nghiệp</t>
        </is>
      </c>
      <c r="E2" s="3" t="inlineStr">
        <is>
          <t>Nguyễn Văn Minh</t>
        </is>
      </c>
      <c r="F2" s="3" t="inlineStr">
        <is>
          <t>Số lượng</t>
        </is>
      </c>
      <c r="G2" s="2" t="n">
        <v>0</v>
      </c>
      <c r="H2" s="2" t="n">
        <v>25</v>
      </c>
      <c r="I2" s="2" t="n">
        <v>14</v>
      </c>
      <c r="J2" s="2" t="n">
        <v>50</v>
      </c>
      <c r="K2" s="4">
        <f>IF(D2="","",IFERROR(MIN(1,MAX(0,(I2-G2)/(H2-G2))),0))</f>
        <v/>
      </c>
      <c r="L2" s="4">
        <f>IF(D2="","",K2*J2/100)</f>
        <v/>
      </c>
      <c r="M2" s="5">
        <f>IF(D2="","",IF(K2&gt;=1,"Đạt mục tiêu",IF(K2&gt;=0.7,"Tốt",IF(K2&gt;=0.4,"Cần thúc đẩy","Đang rủi ro"))))</f>
        <v/>
      </c>
    </row>
    <row r="3">
      <c r="A3" s="2" t="n">
        <v>2</v>
      </c>
      <c r="B3" s="3" t="inlineStr">
        <is>
          <t>Quý III/2026</t>
        </is>
      </c>
      <c r="C3" s="3" t="inlineStr">
        <is>
          <t>Mở rộng tệp khách hàng doanh nghiệp</t>
        </is>
      </c>
      <c r="D3" s="3" t="inlineStr">
        <is>
          <t>Nâng doanh thu kênh doanh nghiệp lên 4.500 triệu</t>
        </is>
      </c>
      <c r="E3" s="3" t="inlineStr">
        <is>
          <t>Nguyễn Văn Minh</t>
        </is>
      </c>
      <c r="F3" s="3" t="inlineStr">
        <is>
          <t>Triệu đồng</t>
        </is>
      </c>
      <c r="G3" s="2" t="n">
        <v>3200</v>
      </c>
      <c r="H3" s="2" t="n">
        <v>4500</v>
      </c>
      <c r="I3" s="2" t="n">
        <v>3850</v>
      </c>
      <c r="J3" s="2" t="n">
        <v>50</v>
      </c>
      <c r="K3" s="4">
        <f>IF(D3="","",IFERROR(MIN(1,MAX(0,(I3-G3)/(H3-G3))),0))</f>
        <v/>
      </c>
      <c r="L3" s="4">
        <f>IF(D3="","",K3*J3/100)</f>
        <v/>
      </c>
      <c r="M3" s="5">
        <f>IF(D3="","",IF(K3&gt;=1,"Đạt mục tiêu",IF(K3&gt;=0.7,"Tốt",IF(K3&gt;=0.4,"Cần thúc đẩy","Đang rủi ro"))))</f>
        <v/>
      </c>
    </row>
    <row r="4">
      <c r="A4" s="2" t="n">
        <v>3</v>
      </c>
      <c r="B4" s="3" t="inlineStr">
        <is>
          <t>Quý III/2026</t>
        </is>
      </c>
      <c r="C4" s="3" t="inlineStr">
        <is>
          <t>Nâng chất lượng giao hàng</t>
        </is>
      </c>
      <c r="D4" s="3" t="inlineStr">
        <is>
          <t>Hạ tỷ lệ đơn giao lỗi từ 8% xuống 3%</t>
        </is>
      </c>
      <c r="E4" s="3" t="inlineStr">
        <is>
          <t>Đỗ Hoàng Nam</t>
        </is>
      </c>
      <c r="F4" s="3" t="inlineStr">
        <is>
          <t>Phần trăm</t>
        </is>
      </c>
      <c r="G4" s="2" t="n">
        <v>8</v>
      </c>
      <c r="H4" s="2" t="n">
        <v>3</v>
      </c>
      <c r="I4" s="2" t="n">
        <v>4.5</v>
      </c>
      <c r="J4" s="2" t="n">
        <v>60</v>
      </c>
      <c r="K4" s="4">
        <f>IF(D4="","",IFERROR(MIN(1,MAX(0,(I4-G4)/(H4-G4))),0))</f>
        <v/>
      </c>
      <c r="L4" s="4">
        <f>IF(D4="","",K4*J4/100)</f>
        <v/>
      </c>
      <c r="M4" s="5">
        <f>IF(D4="","",IF(K4&gt;=1,"Đạt mục tiêu",IF(K4&gt;=0.7,"Tốt",IF(K4&gt;=0.4,"Cần thúc đẩy","Đang rủi ro"))))</f>
        <v/>
      </c>
    </row>
    <row r="5">
      <c r="A5" s="2" t="n">
        <v>4</v>
      </c>
      <c r="B5" s="3" t="inlineStr">
        <is>
          <t>Quý III/2026</t>
        </is>
      </c>
      <c r="C5" s="3" t="inlineStr">
        <is>
          <t>Nâng chất lượng giao hàng</t>
        </is>
      </c>
      <c r="D5" s="3" t="inlineStr">
        <is>
          <t>Rút thời gian xử lý đơn từ 36 giờ xuống 20 giờ</t>
        </is>
      </c>
      <c r="E5" s="3" t="inlineStr">
        <is>
          <t>Đỗ Hoàng Nam</t>
        </is>
      </c>
      <c r="F5" s="3" t="inlineStr">
        <is>
          <t>Số lượng</t>
        </is>
      </c>
      <c r="G5" s="2" t="n">
        <v>36</v>
      </c>
      <c r="H5" s="2" t="n">
        <v>20</v>
      </c>
      <c r="I5" s="2" t="n">
        <v>34</v>
      </c>
      <c r="J5" s="2" t="n">
        <v>40</v>
      </c>
      <c r="K5" s="4">
        <f>IF(D5="","",IFERROR(MIN(1,MAX(0,(I5-G5)/(H5-G5))),0))</f>
        <v/>
      </c>
      <c r="L5" s="4">
        <f>IF(D5="","",K5*J5/100)</f>
        <v/>
      </c>
      <c r="M5" s="5">
        <f>IF(D5="","",IF(K5&gt;=1,"Đạt mục tiêu",IF(K5&gt;=0.7,"Tốt",IF(K5&gt;=0.4,"Cần thúc đẩy","Đang rủi ro"))))</f>
        <v/>
      </c>
    </row>
    <row r="6">
      <c r="A6" s="2" t="n">
        <v>5</v>
      </c>
      <c r="B6" s="3" t="inlineStr">
        <is>
          <t>Quý III/2026</t>
        </is>
      </c>
      <c r="C6" s="3" t="inlineStr">
        <is>
          <t>Xây đội ngũ tự vận hành được quy trình</t>
        </is>
      </c>
      <c r="D6" s="3" t="inlineStr">
        <is>
          <t>12 nhân sự hoàn thành khóa đào tạo nội bộ</t>
        </is>
      </c>
      <c r="E6" s="3" t="inlineStr">
        <is>
          <t>Trần Thu Hà</t>
        </is>
      </c>
      <c r="F6" s="3" t="inlineStr">
        <is>
          <t>Số lượng</t>
        </is>
      </c>
      <c r="G6" s="2" t="n">
        <v>2</v>
      </c>
      <c r="H6" s="2" t="n">
        <v>12</v>
      </c>
      <c r="I6" s="2" t="n">
        <v>12</v>
      </c>
      <c r="J6" s="2" t="n">
        <v>45</v>
      </c>
      <c r="K6" s="4">
        <f>IF(D6="","",IFERROR(MIN(1,MAX(0,(I6-G6)/(H6-G6))),0))</f>
        <v/>
      </c>
      <c r="L6" s="4">
        <f>IF(D6="","",K6*J6/100)</f>
        <v/>
      </c>
      <c r="M6" s="5">
        <f>IF(D6="","",IF(K6&gt;=1,"Đạt mục tiêu",IF(K6&gt;=0.7,"Tốt",IF(K6&gt;=0.4,"Cần thúc đẩy","Đang rủi ro"))))</f>
        <v/>
      </c>
    </row>
    <row r="7">
      <c r="A7" s="2" t="n">
        <v>6</v>
      </c>
      <c r="B7" s="3" t="inlineStr">
        <is>
          <t>Quý III/2026</t>
        </is>
      </c>
      <c r="C7" s="3" t="inlineStr">
        <is>
          <t>Xây đội ngũ tự vận hành được quy trình</t>
        </is>
      </c>
      <c r="D7" s="3" t="inlineStr">
        <is>
          <t>Nâng điểm khảo sát hài lòng nội bộ lên 8,5</t>
        </is>
      </c>
      <c r="E7" s="3" t="inlineStr">
        <is>
          <t>Trần Thu Hà</t>
        </is>
      </c>
      <c r="F7" s="3" t="inlineStr">
        <is>
          <t>Điểm</t>
        </is>
      </c>
      <c r="G7" s="2" t="n">
        <v>7</v>
      </c>
      <c r="H7" s="2" t="n">
        <v>8.5</v>
      </c>
      <c r="I7" s="2" t="n">
        <v>8</v>
      </c>
      <c r="J7" s="2" t="n">
        <v>55</v>
      </c>
      <c r="K7" s="4">
        <f>IF(D7="","",IFERROR(MIN(1,MAX(0,(I7-G7)/(H7-G7))),0))</f>
        <v/>
      </c>
      <c r="L7" s="4">
        <f>IF(D7="","",K7*J7/100)</f>
        <v/>
      </c>
      <c r="M7" s="5">
        <f>IF(D7="","",IF(K7&gt;=1,"Đạt mục tiêu",IF(K7&gt;=0.7,"Tốt",IF(K7&gt;=0.4,"Cần thúc đẩy","Đang rủi ro"))))</f>
        <v/>
      </c>
    </row>
    <row r="8">
      <c r="A8" s="2" t="n"/>
      <c r="B8" s="3" t="n"/>
      <c r="C8" s="3" t="n"/>
      <c r="D8" s="3" t="n"/>
      <c r="E8" s="3" t="n"/>
      <c r="F8" s="3" t="n"/>
      <c r="G8" s="2" t="n"/>
      <c r="H8" s="2" t="n"/>
      <c r="I8" s="2" t="n"/>
      <c r="J8" s="2" t="n"/>
      <c r="K8" s="4">
        <f>IF(D8="","",IFERROR(MIN(1,MAX(0,(I8-G8)/(H8-G8))),0))</f>
        <v/>
      </c>
      <c r="L8" s="4">
        <f>IF(D8="","",K8*J8/100)</f>
        <v/>
      </c>
      <c r="M8" s="5">
        <f>IF(D8="","",IF(K8&gt;=1,"Đạt mục tiêu",IF(K8&gt;=0.7,"Tốt",IF(K8&gt;=0.4,"Cần thúc đẩy","Đang rủi ro"))))</f>
        <v/>
      </c>
    </row>
    <row r="9">
      <c r="A9" s="2" t="n"/>
      <c r="B9" s="3" t="n"/>
      <c r="C9" s="3" t="n"/>
      <c r="D9" s="3" t="n"/>
      <c r="E9" s="3" t="n"/>
      <c r="F9" s="3" t="n"/>
      <c r="G9" s="2" t="n"/>
      <c r="H9" s="2" t="n"/>
      <c r="I9" s="2" t="n"/>
      <c r="J9" s="2" t="n"/>
      <c r="K9" s="4">
        <f>IF(D9="","",IFERROR(MIN(1,MAX(0,(I9-G9)/(H9-G9))),0))</f>
        <v/>
      </c>
      <c r="L9" s="4">
        <f>IF(D9="","",K9*J9/100)</f>
        <v/>
      </c>
      <c r="M9" s="5">
        <f>IF(D9="","",IF(K9&gt;=1,"Đạt mục tiêu",IF(K9&gt;=0.7,"Tốt",IF(K9&gt;=0.4,"Cần thúc đẩy","Đang rủi ro"))))</f>
        <v/>
      </c>
    </row>
    <row r="10">
      <c r="A10" s="2" t="n"/>
      <c r="B10" s="3" t="n"/>
      <c r="C10" s="3" t="n"/>
      <c r="D10" s="3" t="n"/>
      <c r="E10" s="3" t="n"/>
      <c r="F10" s="3" t="n"/>
      <c r="G10" s="2" t="n"/>
      <c r="H10" s="2" t="n"/>
      <c r="I10" s="2" t="n"/>
      <c r="J10" s="2" t="n"/>
      <c r="K10" s="4">
        <f>IF(D10="","",IFERROR(MIN(1,MAX(0,(I10-G10)/(H10-G10))),0))</f>
        <v/>
      </c>
      <c r="L10" s="4">
        <f>IF(D10="","",K10*J10/100)</f>
        <v/>
      </c>
      <c r="M10" s="5">
        <f>IF(D10="","",IF(K10&gt;=1,"Đạt mục tiêu",IF(K10&gt;=0.7,"Tốt",IF(K10&gt;=0.4,"Cần thúc đẩy","Đang rủi ro"))))</f>
        <v/>
      </c>
    </row>
    <row r="11">
      <c r="A11" s="2" t="n"/>
      <c r="B11" s="3" t="n"/>
      <c r="C11" s="3" t="n"/>
      <c r="D11" s="3" t="n"/>
      <c r="E11" s="3" t="n"/>
      <c r="F11" s="3" t="n"/>
      <c r="G11" s="2" t="n"/>
      <c r="H11" s="2" t="n"/>
      <c r="I11" s="2" t="n"/>
      <c r="J11" s="2" t="n"/>
      <c r="K11" s="4">
        <f>IF(D11="","",IFERROR(MIN(1,MAX(0,(I11-G11)/(H11-G11))),0))</f>
        <v/>
      </c>
      <c r="L11" s="4">
        <f>IF(D11="","",K11*J11/100)</f>
        <v/>
      </c>
      <c r="M11" s="5">
        <f>IF(D11="","",IF(K11&gt;=1,"Đạt mục tiêu",IF(K11&gt;=0.7,"Tốt",IF(K11&gt;=0.4,"Cần thúc đẩy","Đang rủi ro"))))</f>
        <v/>
      </c>
    </row>
    <row r="12">
      <c r="A12" s="2" t="n"/>
      <c r="B12" s="3" t="n"/>
      <c r="C12" s="3" t="n"/>
      <c r="D12" s="3" t="n"/>
      <c r="E12" s="3" t="n"/>
      <c r="F12" s="3" t="n"/>
      <c r="G12" s="2" t="n"/>
      <c r="H12" s="2" t="n"/>
      <c r="I12" s="2" t="n"/>
      <c r="J12" s="2" t="n"/>
      <c r="K12" s="4">
        <f>IF(D12="","",IFERROR(MIN(1,MAX(0,(I12-G12)/(H12-G12))),0))</f>
        <v/>
      </c>
      <c r="L12" s="4">
        <f>IF(D12="","",K12*J12/100)</f>
        <v/>
      </c>
      <c r="M12" s="5">
        <f>IF(D12="","",IF(K12&gt;=1,"Đạt mục tiêu",IF(K12&gt;=0.7,"Tốt",IF(K12&gt;=0.4,"Cần thúc đẩy","Đang rủi ro"))))</f>
        <v/>
      </c>
    </row>
    <row r="13">
      <c r="A13" s="2" t="n"/>
      <c r="B13" s="3" t="n"/>
      <c r="C13" s="3" t="n"/>
      <c r="D13" s="3" t="n"/>
      <c r="E13" s="3" t="n"/>
      <c r="F13" s="3" t="n"/>
      <c r="G13" s="2" t="n"/>
      <c r="H13" s="2" t="n"/>
      <c r="I13" s="2" t="n"/>
      <c r="J13" s="2" t="n"/>
      <c r="K13" s="4">
        <f>IF(D13="","",IFERROR(MIN(1,MAX(0,(I13-G13)/(H13-G13))),0))</f>
        <v/>
      </c>
      <c r="L13" s="4">
        <f>IF(D13="","",K13*J13/100)</f>
        <v/>
      </c>
      <c r="M13" s="5">
        <f>IF(D13="","",IF(K13&gt;=1,"Đạt mục tiêu",IF(K13&gt;=0.7,"Tốt",IF(K13&gt;=0.4,"Cần thúc đẩy","Đang rủi ro"))))</f>
        <v/>
      </c>
    </row>
    <row r="14">
      <c r="A14" s="2" t="n"/>
      <c r="B14" s="3" t="n"/>
      <c r="C14" s="3" t="n"/>
      <c r="D14" s="3" t="n"/>
      <c r="E14" s="3" t="n"/>
      <c r="F14" s="3" t="n"/>
      <c r="G14" s="2" t="n"/>
      <c r="H14" s="2" t="n"/>
      <c r="I14" s="2" t="n"/>
      <c r="J14" s="2" t="n"/>
      <c r="K14" s="4">
        <f>IF(D14="","",IFERROR(MIN(1,MAX(0,(I14-G14)/(H14-G14))),0))</f>
        <v/>
      </c>
      <c r="L14" s="4">
        <f>IF(D14="","",K14*J14/100)</f>
        <v/>
      </c>
      <c r="M14" s="5">
        <f>IF(D14="","",IF(K14&gt;=1,"Đạt mục tiêu",IF(K14&gt;=0.7,"Tốt",IF(K14&gt;=0.4,"Cần thúc đẩy","Đang rủi ro"))))</f>
        <v/>
      </c>
    </row>
    <row r="15">
      <c r="A15" s="2" t="n"/>
      <c r="B15" s="3" t="n"/>
      <c r="C15" s="3" t="n"/>
      <c r="D15" s="3" t="n"/>
      <c r="E15" s="3" t="n"/>
      <c r="F15" s="3" t="n"/>
      <c r="G15" s="2" t="n"/>
      <c r="H15" s="2" t="n"/>
      <c r="I15" s="2" t="n"/>
      <c r="J15" s="2" t="n"/>
      <c r="K15" s="4">
        <f>IF(D15="","",IFERROR(MIN(1,MAX(0,(I15-G15)/(H15-G15))),0))</f>
        <v/>
      </c>
      <c r="L15" s="4">
        <f>IF(D15="","",K15*J15/100)</f>
        <v/>
      </c>
      <c r="M15" s="5">
        <f>IF(D15="","",IF(K15&gt;=1,"Đạt mục tiêu",IF(K15&gt;=0.7,"Tốt",IF(K15&gt;=0.4,"Cần thúc đẩy","Đang rủi ro"))))</f>
        <v/>
      </c>
    </row>
    <row r="16">
      <c r="A16" s="2" t="n"/>
      <c r="B16" s="3" t="n"/>
      <c r="C16" s="3" t="n"/>
      <c r="D16" s="3" t="n"/>
      <c r="E16" s="3" t="n"/>
      <c r="F16" s="3" t="n"/>
      <c r="G16" s="2" t="n"/>
      <c r="H16" s="2" t="n"/>
      <c r="I16" s="2" t="n"/>
      <c r="J16" s="2" t="n"/>
      <c r="K16" s="4">
        <f>IF(D16="","",IFERROR(MIN(1,MAX(0,(I16-G16)/(H16-G16))),0))</f>
        <v/>
      </c>
      <c r="L16" s="4">
        <f>IF(D16="","",K16*J16/100)</f>
        <v/>
      </c>
      <c r="M16" s="5">
        <f>IF(D16="","",IF(K16&gt;=1,"Đạt mục tiêu",IF(K16&gt;=0.7,"Tốt",IF(K16&gt;=0.4,"Cần thúc đẩy","Đang rủi ro"))))</f>
        <v/>
      </c>
    </row>
    <row r="17">
      <c r="A17" s="2" t="n"/>
      <c r="B17" s="3" t="n"/>
      <c r="C17" s="3" t="n"/>
      <c r="D17" s="3" t="n"/>
      <c r="E17" s="3" t="n"/>
      <c r="F17" s="3" t="n"/>
      <c r="G17" s="2" t="n"/>
      <c r="H17" s="2" t="n"/>
      <c r="I17" s="2" t="n"/>
      <c r="J17" s="2" t="n"/>
      <c r="K17" s="4">
        <f>IF(D17="","",IFERROR(MIN(1,MAX(0,(I17-G17)/(H17-G17))),0))</f>
        <v/>
      </c>
      <c r="L17" s="4">
        <f>IF(D17="","",K17*J17/100)</f>
        <v/>
      </c>
      <c r="M17" s="5">
        <f>IF(D17="","",IF(K17&gt;=1,"Đạt mục tiêu",IF(K17&gt;=0.7,"Tốt",IF(K17&gt;=0.4,"Cần thúc đẩy","Đang rủi ro"))))</f>
        <v/>
      </c>
    </row>
    <row r="18">
      <c r="A18" s="2" t="n"/>
      <c r="B18" s="3" t="n"/>
      <c r="C18" s="3" t="n"/>
      <c r="D18" s="3" t="n"/>
      <c r="E18" s="3" t="n"/>
      <c r="F18" s="3" t="n"/>
      <c r="G18" s="2" t="n"/>
      <c r="H18" s="2" t="n"/>
      <c r="I18" s="2" t="n"/>
      <c r="J18" s="2" t="n"/>
      <c r="K18" s="4">
        <f>IF(D18="","",IFERROR(MIN(1,MAX(0,(I18-G18)/(H18-G18))),0))</f>
        <v/>
      </c>
      <c r="L18" s="4">
        <f>IF(D18="","",K18*J18/100)</f>
        <v/>
      </c>
      <c r="M18" s="5">
        <f>IF(D18="","",IF(K18&gt;=1,"Đạt mục tiêu",IF(K18&gt;=0.7,"Tốt",IF(K18&gt;=0.4,"Cần thúc đẩy","Đang rủi ro"))))</f>
        <v/>
      </c>
    </row>
    <row r="19">
      <c r="A19" s="2" t="n"/>
      <c r="B19" s="3" t="n"/>
      <c r="C19" s="3" t="n"/>
      <c r="D19" s="3" t="n"/>
      <c r="E19" s="3" t="n"/>
      <c r="F19" s="3" t="n"/>
      <c r="G19" s="2" t="n"/>
      <c r="H19" s="2" t="n"/>
      <c r="I19" s="2" t="n"/>
      <c r="J19" s="2" t="n"/>
      <c r="K19" s="4">
        <f>IF(D19="","",IFERROR(MIN(1,MAX(0,(I19-G19)/(H19-G19))),0))</f>
        <v/>
      </c>
      <c r="L19" s="4">
        <f>IF(D19="","",K19*J19/100)</f>
        <v/>
      </c>
      <c r="M19" s="5">
        <f>IF(D19="","",IF(K19&gt;=1,"Đạt mục tiêu",IF(K19&gt;=0.7,"Tốt",IF(K19&gt;=0.4,"Cần thúc đẩy","Đang rủi ro"))))</f>
        <v/>
      </c>
    </row>
    <row r="20">
      <c r="A20" s="2" t="n"/>
      <c r="B20" s="3" t="n"/>
      <c r="C20" s="3" t="n"/>
      <c r="D20" s="3" t="n"/>
      <c r="E20" s="3" t="n"/>
      <c r="F20" s="3" t="n"/>
      <c r="G20" s="2" t="n"/>
      <c r="H20" s="2" t="n"/>
      <c r="I20" s="2" t="n"/>
      <c r="J20" s="2" t="n"/>
      <c r="K20" s="4">
        <f>IF(D20="","",IFERROR(MIN(1,MAX(0,(I20-G20)/(H20-G20))),0))</f>
        <v/>
      </c>
      <c r="L20" s="4">
        <f>IF(D20="","",K20*J20/100)</f>
        <v/>
      </c>
      <c r="M20" s="5">
        <f>IF(D20="","",IF(K20&gt;=1,"Đạt mục tiêu",IF(K20&gt;=0.7,"Tốt",IF(K20&gt;=0.4,"Cần thúc đẩy","Đang rủi ro"))))</f>
        <v/>
      </c>
    </row>
    <row r="21">
      <c r="A21" s="2" t="n"/>
      <c r="B21" s="3" t="n"/>
      <c r="C21" s="3" t="n"/>
      <c r="D21" s="3" t="n"/>
      <c r="E21" s="3" t="n"/>
      <c r="F21" s="3" t="n"/>
      <c r="G21" s="2" t="n"/>
      <c r="H21" s="2" t="n"/>
      <c r="I21" s="2" t="n"/>
      <c r="J21" s="2" t="n"/>
      <c r="K21" s="4">
        <f>IF(D21="","",IFERROR(MIN(1,MAX(0,(I21-G21)/(H21-G21))),0))</f>
        <v/>
      </c>
      <c r="L21" s="4">
        <f>IF(D21="","",K21*J21/100)</f>
        <v/>
      </c>
      <c r="M21" s="5">
        <f>IF(D21="","",IF(K21&gt;=1,"Đạt mục tiêu",IF(K21&gt;=0.7,"Tốt",IF(K21&gt;=0.4,"Cần thúc đẩy","Đang rủi ro"))))</f>
        <v/>
      </c>
    </row>
    <row r="22">
      <c r="A22" s="2" t="n"/>
      <c r="B22" s="3" t="n"/>
      <c r="C22" s="3" t="n"/>
      <c r="D22" s="3" t="n"/>
      <c r="E22" s="3" t="n"/>
      <c r="F22" s="3" t="n"/>
      <c r="G22" s="2" t="n"/>
      <c r="H22" s="2" t="n"/>
      <c r="I22" s="2" t="n"/>
      <c r="J22" s="2" t="n"/>
      <c r="K22" s="4">
        <f>IF(D22="","",IFERROR(MIN(1,MAX(0,(I22-G22)/(H22-G22))),0))</f>
        <v/>
      </c>
      <c r="L22" s="4">
        <f>IF(D22="","",K22*J22/100)</f>
        <v/>
      </c>
      <c r="M22" s="5">
        <f>IF(D22="","",IF(K22&gt;=1,"Đạt mục tiêu",IF(K22&gt;=0.7,"Tốt",IF(K22&gt;=0.4,"Cần thúc đẩy","Đang rủi ro"))))</f>
        <v/>
      </c>
    </row>
    <row r="23">
      <c r="A23" s="2" t="n"/>
      <c r="B23" s="3" t="n"/>
      <c r="C23" s="3" t="n"/>
      <c r="D23" s="3" t="n"/>
      <c r="E23" s="3" t="n"/>
      <c r="F23" s="3" t="n"/>
      <c r="G23" s="2" t="n"/>
      <c r="H23" s="2" t="n"/>
      <c r="I23" s="2" t="n"/>
      <c r="J23" s="2" t="n"/>
      <c r="K23" s="4">
        <f>IF(D23="","",IFERROR(MIN(1,MAX(0,(I23-G23)/(H23-G23))),0))</f>
        <v/>
      </c>
      <c r="L23" s="4">
        <f>IF(D23="","",K23*J23/100)</f>
        <v/>
      </c>
      <c r="M23" s="5">
        <f>IF(D23="","",IF(K23&gt;=1,"Đạt mục tiêu",IF(K23&gt;=0.7,"Tốt",IF(K23&gt;=0.4,"Cần thúc đẩy","Đang rủi ro"))))</f>
        <v/>
      </c>
    </row>
    <row r="24">
      <c r="A24" s="2" t="n"/>
      <c r="B24" s="3" t="n"/>
      <c r="C24" s="3" t="n"/>
      <c r="D24" s="3" t="n"/>
      <c r="E24" s="3" t="n"/>
      <c r="F24" s="3" t="n"/>
      <c r="G24" s="2" t="n"/>
      <c r="H24" s="2" t="n"/>
      <c r="I24" s="2" t="n"/>
      <c r="J24" s="2" t="n"/>
      <c r="K24" s="4">
        <f>IF(D24="","",IFERROR(MIN(1,MAX(0,(I24-G24)/(H24-G24))),0))</f>
        <v/>
      </c>
      <c r="L24" s="4">
        <f>IF(D24="","",K24*J24/100)</f>
        <v/>
      </c>
      <c r="M24" s="5">
        <f>IF(D24="","",IF(K24&gt;=1,"Đạt mục tiêu",IF(K24&gt;=0.7,"Tốt",IF(K24&gt;=0.4,"Cần thúc đẩy","Đang rủi ro"))))</f>
        <v/>
      </c>
    </row>
    <row r="25">
      <c r="A25" s="2" t="n"/>
      <c r="B25" s="3" t="n"/>
      <c r="C25" s="3" t="n"/>
      <c r="D25" s="3" t="n"/>
      <c r="E25" s="3" t="n"/>
      <c r="F25" s="3" t="n"/>
      <c r="G25" s="2" t="n"/>
      <c r="H25" s="2" t="n"/>
      <c r="I25" s="2" t="n"/>
      <c r="J25" s="2" t="n"/>
      <c r="K25" s="4">
        <f>IF(D25="","",IFERROR(MIN(1,MAX(0,(I25-G25)/(H25-G25))),0))</f>
        <v/>
      </c>
      <c r="L25" s="4">
        <f>IF(D25="","",K25*J25/100)</f>
        <v/>
      </c>
      <c r="M25" s="5">
        <f>IF(D25="","",IF(K25&gt;=1,"Đạt mục tiêu",IF(K25&gt;=0.7,"Tốt",IF(K25&gt;=0.4,"Cần thúc đẩy","Đang rủi ro"))))</f>
        <v/>
      </c>
    </row>
    <row r="26">
      <c r="A26" s="2" t="n"/>
      <c r="B26" s="3" t="n"/>
      <c r="C26" s="3" t="n"/>
      <c r="D26" s="3" t="n"/>
      <c r="E26" s="3" t="n"/>
      <c r="F26" s="3" t="n"/>
      <c r="G26" s="2" t="n"/>
      <c r="H26" s="2" t="n"/>
      <c r="I26" s="2" t="n"/>
      <c r="J26" s="2" t="n"/>
      <c r="K26" s="4">
        <f>IF(D26="","",IFERROR(MIN(1,MAX(0,(I26-G26)/(H26-G26))),0))</f>
        <v/>
      </c>
      <c r="L26" s="4">
        <f>IF(D26="","",K26*J26/100)</f>
        <v/>
      </c>
      <c r="M26" s="5">
        <f>IF(D26="","",IF(K26&gt;=1,"Đạt mục tiêu",IF(K26&gt;=0.7,"Tốt",IF(K26&gt;=0.4,"Cần thúc đẩy","Đang rủi ro"))))</f>
        <v/>
      </c>
    </row>
    <row r="27">
      <c r="A27" s="2" t="n"/>
      <c r="B27" s="3" t="n"/>
      <c r="C27" s="3" t="n"/>
      <c r="D27" s="3" t="n"/>
      <c r="E27" s="3" t="n"/>
      <c r="F27" s="3" t="n"/>
      <c r="G27" s="2" t="n"/>
      <c r="H27" s="2" t="n"/>
      <c r="I27" s="2" t="n"/>
      <c r="J27" s="2" t="n"/>
      <c r="K27" s="4">
        <f>IF(D27="","",IFERROR(MIN(1,MAX(0,(I27-G27)/(H27-G27))),0))</f>
        <v/>
      </c>
      <c r="L27" s="4">
        <f>IF(D27="","",K27*J27/100)</f>
        <v/>
      </c>
      <c r="M27" s="5">
        <f>IF(D27="","",IF(K27&gt;=1,"Đạt mục tiêu",IF(K27&gt;=0.7,"Tốt",IF(K27&gt;=0.4,"Cần thúc đẩy","Đang rủi ro"))))</f>
        <v/>
      </c>
    </row>
    <row r="28">
      <c r="A28" s="2" t="n"/>
      <c r="B28" s="3" t="n"/>
      <c r="C28" s="3" t="n"/>
      <c r="D28" s="3" t="n"/>
      <c r="E28" s="3" t="n"/>
      <c r="F28" s="3" t="n"/>
      <c r="G28" s="2" t="n"/>
      <c r="H28" s="2" t="n"/>
      <c r="I28" s="2" t="n"/>
      <c r="J28" s="2" t="n"/>
      <c r="K28" s="4">
        <f>IF(D28="","",IFERROR(MIN(1,MAX(0,(I28-G28)/(H28-G28))),0))</f>
        <v/>
      </c>
      <c r="L28" s="4">
        <f>IF(D28="","",K28*J28/100)</f>
        <v/>
      </c>
      <c r="M28" s="5">
        <f>IF(D28="","",IF(K28&gt;=1,"Đạt mục tiêu",IF(K28&gt;=0.7,"Tốt",IF(K28&gt;=0.4,"Cần thúc đẩy","Đang rủi ro"))))</f>
        <v/>
      </c>
    </row>
    <row r="29">
      <c r="A29" s="2" t="n"/>
      <c r="B29" s="3" t="n"/>
      <c r="C29" s="3" t="n"/>
      <c r="D29" s="3" t="n"/>
      <c r="E29" s="3" t="n"/>
      <c r="F29" s="3" t="n"/>
      <c r="G29" s="2" t="n"/>
      <c r="H29" s="2" t="n"/>
      <c r="I29" s="2" t="n"/>
      <c r="J29" s="2" t="n"/>
      <c r="K29" s="4">
        <f>IF(D29="","",IFERROR(MIN(1,MAX(0,(I29-G29)/(H29-G29))),0))</f>
        <v/>
      </c>
      <c r="L29" s="4">
        <f>IF(D29="","",K29*J29/100)</f>
        <v/>
      </c>
      <c r="M29" s="5">
        <f>IF(D29="","",IF(K29&gt;=1,"Đạt mục tiêu",IF(K29&gt;=0.7,"Tốt",IF(K29&gt;=0.4,"Cần thúc đẩy","Đang rủi ro"))))</f>
        <v/>
      </c>
    </row>
    <row r="30">
      <c r="A30" s="2" t="n"/>
      <c r="B30" s="3" t="n"/>
      <c r="C30" s="3" t="n"/>
      <c r="D30" s="3" t="n"/>
      <c r="E30" s="3" t="n"/>
      <c r="F30" s="3" t="n"/>
      <c r="G30" s="2" t="n"/>
      <c r="H30" s="2" t="n"/>
      <c r="I30" s="2" t="n"/>
      <c r="J30" s="2" t="n"/>
      <c r="K30" s="4">
        <f>IF(D30="","",IFERROR(MIN(1,MAX(0,(I30-G30)/(H30-G30))),0))</f>
        <v/>
      </c>
      <c r="L30" s="4">
        <f>IF(D30="","",K30*J30/100)</f>
        <v/>
      </c>
      <c r="M30" s="5">
        <f>IF(D30="","",IF(K30&gt;=1,"Đạt mục tiêu",IF(K30&gt;=0.7,"Tốt",IF(K30&gt;=0.4,"Cần thúc đẩy","Đang rủi ro"))))</f>
        <v/>
      </c>
    </row>
    <row r="31">
      <c r="A31" s="2" t="n"/>
      <c r="B31" s="3" t="n"/>
      <c r="C31" s="3" t="n"/>
      <c r="D31" s="3" t="n"/>
      <c r="E31" s="3" t="n"/>
      <c r="F31" s="3" t="n"/>
      <c r="G31" s="2" t="n"/>
      <c r="H31" s="2" t="n"/>
      <c r="I31" s="2" t="n"/>
      <c r="J31" s="2" t="n"/>
      <c r="K31" s="4">
        <f>IF(D31="","",IFERROR(MIN(1,MAX(0,(I31-G31)/(H31-G31))),0))</f>
        <v/>
      </c>
      <c r="L31" s="4">
        <f>IF(D31="","",K31*J31/100)</f>
        <v/>
      </c>
      <c r="M31" s="5">
        <f>IF(D31="","",IF(K31&gt;=1,"Đạt mục tiêu",IF(K31&gt;=0.7,"Tốt",IF(K31&gt;=0.4,"Cần thúc đẩy","Đang rủi ro"))))</f>
        <v/>
      </c>
    </row>
    <row r="32">
      <c r="A32" s="2" t="n"/>
      <c r="B32" s="3" t="n"/>
      <c r="C32" s="3" t="n"/>
      <c r="D32" s="3" t="n"/>
      <c r="E32" s="3" t="n"/>
      <c r="F32" s="3" t="n"/>
      <c r="G32" s="2" t="n"/>
      <c r="H32" s="2" t="n"/>
      <c r="I32" s="2" t="n"/>
      <c r="J32" s="2" t="n"/>
      <c r="K32" s="4">
        <f>IF(D32="","",IFERROR(MIN(1,MAX(0,(I32-G32)/(H32-G32))),0))</f>
        <v/>
      </c>
      <c r="L32" s="4">
        <f>IF(D32="","",K32*J32/100)</f>
        <v/>
      </c>
      <c r="M32" s="5">
        <f>IF(D32="","",IF(K32&gt;=1,"Đạt mục tiêu",IF(K32&gt;=0.7,"Tốt",IF(K32&gt;=0.4,"Cần thúc đẩy","Đang rủi ro"))))</f>
        <v/>
      </c>
    </row>
  </sheetData>
  <autoFilter ref="A1:M32"/>
  <dataValidations count="5">
    <dataValidation sqref="F2:F32" showDropDown="0" showInputMessage="0" showErrorMessage="0" allowBlank="1" errorTitle="Sai định dạng" error="Giá trị không hợp lệ cho cột này." type="list">
      <formula1>"Phần trăm,Số lượng,Triệu đồng,Ngày,Điểm"</formula1>
    </dataValidation>
    <dataValidation sqref="G2:G32" showDropDown="0" showInputMessage="0" showErrorMessage="0" allowBlank="1" errorTitle="Sai định dạng" error="Giá trị không hợp lệ cho cột này." type="decimal" operator="between">
      <formula1>-1000000</formula1>
      <formula2>100000000</formula2>
    </dataValidation>
    <dataValidation sqref="H2:H32" showDropDown="0" showInputMessage="0" showErrorMessage="0" allowBlank="1" errorTitle="Sai định dạng" error="Giá trị không hợp lệ cho cột này." type="decimal" operator="between">
      <formula1>-1000000</formula1>
      <formula2>100000000</formula2>
    </dataValidation>
    <dataValidation sqref="I2:I32" showDropDown="0" showInputMessage="0" showErrorMessage="0" allowBlank="1" errorTitle="Sai định dạng" error="Giá trị không hợp lệ cho cột này." type="decimal" operator="between">
      <formula1>-1000000</formula1>
      <formula2>100000000</formula2>
    </dataValidation>
    <dataValidation sqref="J2:J32" showDropDown="0" showInputMessage="0" showErrorMessage="0" allowBlank="1" errorTitle="Sai định dạng" error="Giá trị không hợp lệ cho cột này." type="decimal" operator="between">
      <formula1>0</formula1>
      <formula2>100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2"/>
  <sheetViews>
    <sheetView workbookViewId="0">
      <selection activeCell="A1" sqref="A1"/>
    </sheetView>
  </sheetViews>
  <sheetFormatPr baseColWidth="8" defaultRowHeight="15"/>
  <cols>
    <col width="4" customWidth="1" min="1" max="1"/>
    <col width="100" customWidth="1" min="2" max="2"/>
  </cols>
  <sheetData>
    <row r="1">
      <c r="B1" s="6" t="inlineStr">
        <is>
          <t>Mẫu Excel theo dõi mục tiêu OKR theo quý</t>
        </is>
      </c>
    </row>
    <row r="2">
      <c r="B2" s="7" t="inlineStr"/>
    </row>
    <row r="3">
      <c r="B3" s="8" t="inlineStr">
        <is>
          <t>CÁCH DÙNG</t>
        </is>
      </c>
    </row>
    <row r="4">
      <c r="B4" s="9" t="inlineStr">
        <is>
          <t>1. Viết mục tiêu và các kết quả then chốt</t>
        </is>
      </c>
    </row>
    <row r="5">
      <c r="B5" s="7" t="inlineStr">
        <is>
          <t xml:space="preserve">   Mỗi dòng là một kết quả then chốt, lặp lại tên mục tiêu ở các dòng cùng nhóm để lọc được. Mục tiêu là câu định tính truyền cảm hứng, kết quả then chốt phải đo được bằng một con số — nếu không nghĩ ra con số nào thì đó chưa phải kết quả then chốt.</t>
        </is>
      </c>
    </row>
    <row r="6">
      <c r="B6" s="9" t="inlineStr">
        <is>
          <t>2. Ghi giá trị đầu kỳ trước khi quý bắt đầu</t>
        </is>
      </c>
    </row>
    <row r="7">
      <c r="B7" s="7" t="inlineStr">
        <is>
          <t xml:space="preserve">   Đây là cột hay bị bỏ trống nhất và cũng là cột làm sai lệch mọi thứ. Không có giá trị đầu kỳ thì tiến độ mặc định tính từ 0, và một chỉ số vốn đã ở mức cao sẽ được ghi công cho phần chưa ai làm.</t>
        </is>
      </c>
    </row>
    <row r="8">
      <c r="B8" s="9" t="inlineStr">
        <is>
          <t>3. Đặt trọng số cho từng kết quả then chốt</t>
        </is>
      </c>
    </row>
    <row r="9">
      <c r="B9" s="7" t="inlineStr">
        <is>
          <t xml:space="preserve">   Tổng trọng số của các kết quả trong cùng một mục tiêu nên bằng 100. Chia đều là lựa chọn mặc định hợp lý; chỉ lệch trọng số khi thật sự có một kết quả quan trọng hơn hẳn, vì trọng số lệch mà không giải thích được sẽ thành chỗ để tranh cãi cuối quý.</t>
        </is>
      </c>
    </row>
    <row r="10">
      <c r="B10" s="9" t="inlineStr">
        <is>
          <t>4. Cập nhật giá trị hiện tại theo tuần hoặc theo tháng</t>
        </is>
      </c>
    </row>
    <row r="11">
      <c r="B11" s="7" t="inlineStr">
        <is>
          <t xml:space="preserve">   Chỉ sửa duy nhất cột giá trị hiện tại, mọi cột còn lại tự tính. Nhịp cập nhật đều đặn quan trọng hơn tần suất dày: cập nhật hằng tháng nhưng không bỏ tháng nào thì tốt hơn cập nhật hằng tuần rồi bỏ giữa chừng.</t>
        </is>
      </c>
    </row>
    <row r="12">
      <c r="B12" s="7" t="inlineStr"/>
    </row>
    <row r="13">
      <c r="B13" s="8" t="inlineStr">
        <is>
          <t>CÔNG THỨC TRONG FILE</t>
        </is>
      </c>
    </row>
    <row r="14">
      <c r="B14" s="9" t="inlineStr">
        <is>
          <t>Tiến độ KR  —  =IF(D2="","",IFERROR(MIN(1,MAX(0,(I2-G2)/(H2-G2))),0))</t>
        </is>
      </c>
    </row>
    <row r="15">
      <c r="B15" s="7" t="inlineStr">
        <is>
          <t xml:space="preserve">   Phần quãng đường đã đi chia phần quãng đường cần đi. Vì cả tử và mẫu đều lấy mốc từ giá trị đầu kỳ, công thức đúng luôn với mục tiêu giảm: hai vế cùng âm thì triệt tiêu dấu. MIN chặn ở 100% để một kết quả vượt xa không che lấp những kết quả đang kém khi cộng điểm.</t>
        </is>
      </c>
    </row>
    <row r="16">
      <c r="B16" s="9" t="inlineStr">
        <is>
          <t>Điểm có trọng số  —  =IF(D2="","",K2*J2/100)</t>
        </is>
      </c>
    </row>
    <row r="17">
      <c r="B17" s="7" t="inlineStr">
        <is>
          <t xml:space="preserve">   Tiến độ nhân trọng số. Cộng các dòng cùng một mục tiêu là ra điểm của mục tiêu đó; vì trọng số trong một mục tiêu tổng bằng 100 nên tổng điểm vẫn nằm trong thang phần trăm và so sánh được giữa các mục tiêu.</t>
        </is>
      </c>
    </row>
    <row r="18">
      <c r="B18" s="9" t="inlineStr">
        <is>
          <t>Xếp loại  —  =IF(D2="","",IF(K2&gt;=1,"Đạt mục tiêu",IF(K2&gt;=0.7,"Tốt",IF(K2&gt;=0.4,"Cần thúc đẩy","Đang rủi ro"))))</t>
        </is>
      </c>
    </row>
    <row r="19">
      <c r="B19" s="7" t="inlineStr">
        <is>
          <t xml:space="preserve">   Mốc 0,7 là thông lệ của OKR: mục tiêu đặt đủ tham vọng thì đạt bảy phần mười đã là tốt. Nếu tổ chức dùng OKR theo kiểu cam kết phải đạt đủ thì hãy nâng các mốc này lên, nếu không cả bảng sẽ khen những dòng lẽ ra phải bị hỏi.</t>
        </is>
      </c>
    </row>
    <row r="20">
      <c r="B20" s="7" t="inlineStr"/>
    </row>
    <row r="21">
      <c r="B21" s="9" t="inlineStr">
        <is>
          <t>Bản cập nhật mới nhất và hướng dẫn chi tiết:</t>
        </is>
      </c>
    </row>
    <row r="22">
      <c r="B22" s="10" t="inlineStr">
        <is>
          <t>https://excel.nguyenvietloc.com/mau-excel/quan-ly-cong-viec/bang-theo-doi-muc-tieu-okr</t>
        </is>
      </c>
    </row>
  </sheetData>
  <hyperlinks>
    <hyperlink xmlns:r="http://schemas.openxmlformats.org/officeDocument/2006/relationships" ref="B2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2026-08-14T13:55:47Z</dcterms:created>
  <dcterms:modified xsi:type="dcterms:W3CDTF">2026-08-14T13:55:47Z</dcterms:modified>
</cp:coreProperties>
</file>