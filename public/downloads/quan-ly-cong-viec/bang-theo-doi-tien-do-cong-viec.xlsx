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ến độ công việc" sheetId="1" state="visible" r:id="rId1"/>
    <sheet name="Hướng dẫn" sheetId="2" state="visible" r:id="rId2"/>
  </sheets>
  <definedNames>
    <definedName name="_xlnm._FilterDatabase" localSheetId="0" hidden="1">'Tiến độ công việc'!$A$1:$N$37</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4" fontId="0" fillId="3" borderId="1" pivotButton="0" quotePrefix="0" xfId="0"/>
    <xf numFmtId="167"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bang-theo-doi-tien-do-cong-viec" TargetMode="External" Id="rId1" /></Relationships>
</file>

<file path=xl/worksheets/sheet1.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34" customWidth="1" min="3" max="3"/>
    <col width="20" customWidth="1" min="4" max="4"/>
    <col width="16" customWidth="1" min="5" max="5"/>
    <col width="12" customWidth="1" min="6" max="6"/>
    <col width="12" customWidth="1" min="7" max="7"/>
    <col width="13" customWidth="1" min="8" max="8"/>
    <col width="13" customWidth="1" min="9" max="9"/>
    <col width="12" customWidth="1" min="10" max="10"/>
    <col width="13" customWidth="1" min="11" max="11"/>
    <col width="14" customWidth="1" min="12" max="12"/>
    <col width="13" customWidth="1" min="13" max="13"/>
    <col width="26" customWidth="1" min="14" max="14"/>
  </cols>
  <sheetData>
    <row r="1" ht="32" customHeight="1">
      <c r="A1" s="1" t="inlineStr">
        <is>
          <t>STT</t>
        </is>
      </c>
      <c r="B1" s="1" t="inlineStr">
        <is>
          <t>Mã việc</t>
        </is>
      </c>
      <c r="C1" s="1" t="inlineStr">
        <is>
          <t>Tên công việc</t>
        </is>
      </c>
      <c r="D1" s="1" t="inlineStr">
        <is>
          <t>Người phụ trách</t>
        </is>
      </c>
      <c r="E1" s="1" t="inlineStr">
        <is>
          <t>Bộ phận</t>
        </is>
      </c>
      <c r="F1" s="1" t="inlineStr">
        <is>
          <t>Độ ưu tiên</t>
        </is>
      </c>
      <c r="G1" s="1" t="inlineStr">
        <is>
          <t>Ngày bắt đầu</t>
        </is>
      </c>
      <c r="H1" s="1" t="inlineStr">
        <is>
          <t>Hạn hoàn thành</t>
        </is>
      </c>
      <c r="I1" s="1" t="inlineStr">
        <is>
          <t>Hoàn thành (%)</t>
        </is>
      </c>
      <c r="J1" s="1" t="inlineStr">
        <is>
          <t>Ngày chốt sổ</t>
        </is>
      </c>
      <c r="K1" s="1" t="inlineStr">
        <is>
          <t>Số ngày còn lại</t>
        </is>
      </c>
      <c r="L1" s="1" t="inlineStr">
        <is>
          <t>Tiến độ kỳ vọng</t>
        </is>
      </c>
      <c r="M1" s="1" t="inlineStr">
        <is>
          <t>Lệch tiến độ</t>
        </is>
      </c>
      <c r="N1" s="1" t="inlineStr">
        <is>
          <t>Trạng thái</t>
        </is>
      </c>
    </row>
    <row r="2">
      <c r="A2" s="2" t="n">
        <v>1</v>
      </c>
      <c r="B2" s="3" t="inlineStr">
        <is>
          <t>CV001</t>
        </is>
      </c>
      <c r="C2" s="3" t="inlineStr">
        <is>
          <t>Hoàn thiện bộ tài liệu đào tạo nhân viên mới</t>
        </is>
      </c>
      <c r="D2" s="3" t="inlineStr">
        <is>
          <t>Trần Thu Hà</t>
        </is>
      </c>
      <c r="E2" s="3" t="inlineStr">
        <is>
          <t>Hành chính nhân sự</t>
        </is>
      </c>
      <c r="F2" s="3" t="inlineStr">
        <is>
          <t>Cao</t>
        </is>
      </c>
      <c r="G2" s="4" t="n">
        <v>46204</v>
      </c>
      <c r="H2" s="4" t="n">
        <v>46234</v>
      </c>
      <c r="I2" s="2" t="n">
        <v>85</v>
      </c>
      <c r="J2" s="4" t="n">
        <v>46227</v>
      </c>
      <c r="K2" s="5">
        <f>IF(C2="","",H2-J2)</f>
        <v/>
      </c>
      <c r="L2" s="6">
        <f>IF(C2="","",IFERROR(MIN(1,MAX(0,(J2-G2)/(H2-G2))),0))</f>
        <v/>
      </c>
      <c r="M2" s="6">
        <f>IF(C2="","",I2/100-L2)</f>
        <v/>
      </c>
      <c r="N2" s="7">
        <f>IF(C2="","",IF(I2&gt;=100,"Hoàn thành",IF(K2&lt;0,"Trễ hạn",IF(I2=0,"Chưa bắt đầu",IF(M2&lt;-0.1,"Chậm so với kế hoạch","Đúng tiến độ")))))</f>
        <v/>
      </c>
    </row>
    <row r="3">
      <c r="A3" s="2" t="n">
        <v>2</v>
      </c>
      <c r="B3" s="3" t="inlineStr">
        <is>
          <t>CV002</t>
        </is>
      </c>
      <c r="C3" s="3" t="inlineStr">
        <is>
          <t>Triển khai chiến dịch quảng cáo quý III</t>
        </is>
      </c>
      <c r="D3" s="3" t="inlineStr">
        <is>
          <t>Lê Quốc Bảo</t>
        </is>
      </c>
      <c r="E3" s="3" t="inlineStr">
        <is>
          <t>Marketing</t>
        </is>
      </c>
      <c r="F3" s="3" t="inlineStr">
        <is>
          <t>Cao</t>
        </is>
      </c>
      <c r="G3" s="4" t="n">
        <v>46208</v>
      </c>
      <c r="H3" s="4" t="n">
        <v>46249</v>
      </c>
      <c r="I3" s="2" t="n">
        <v>30</v>
      </c>
      <c r="J3" s="4" t="n">
        <v>46227</v>
      </c>
      <c r="K3" s="5">
        <f>IF(C3="","",H3-J3)</f>
        <v/>
      </c>
      <c r="L3" s="6">
        <f>IF(C3="","",IFERROR(MIN(1,MAX(0,(J3-G3)/(H3-G3))),0))</f>
        <v/>
      </c>
      <c r="M3" s="6">
        <f>IF(C3="","",I3/100-L3)</f>
        <v/>
      </c>
      <c r="N3" s="7">
        <f>IF(C3="","",IF(I3&gt;=100,"Hoàn thành",IF(K3&lt;0,"Trễ hạn",IF(I3=0,"Chưa bắt đầu",IF(M3&lt;-0.1,"Chậm so với kế hoạch","Đúng tiến độ")))))</f>
        <v/>
      </c>
    </row>
    <row r="4">
      <c r="A4" s="2" t="n">
        <v>3</v>
      </c>
      <c r="B4" s="3" t="inlineStr">
        <is>
          <t>CV003</t>
        </is>
      </c>
      <c r="C4" s="3" t="inlineStr">
        <is>
          <t>Kiểm kê kho cuối quý và đối chiếu sổ sách</t>
        </is>
      </c>
      <c r="D4" s="3" t="inlineStr">
        <is>
          <t>Đỗ Hoàng Nam</t>
        </is>
      </c>
      <c r="E4" s="3" t="inlineStr">
        <is>
          <t>Kho vận</t>
        </is>
      </c>
      <c r="F4" s="3" t="inlineStr">
        <is>
          <t>Trung bình</t>
        </is>
      </c>
      <c r="G4" s="4" t="n">
        <v>46213</v>
      </c>
      <c r="H4" s="4" t="n">
        <v>46223</v>
      </c>
      <c r="I4" s="2" t="n">
        <v>70</v>
      </c>
      <c r="J4" s="4" t="n">
        <v>46227</v>
      </c>
      <c r="K4" s="5">
        <f>IF(C4="","",H4-J4)</f>
        <v/>
      </c>
      <c r="L4" s="6">
        <f>IF(C4="","",IFERROR(MIN(1,MAX(0,(J4-G4)/(H4-G4))),0))</f>
        <v/>
      </c>
      <c r="M4" s="6">
        <f>IF(C4="","",I4/100-L4)</f>
        <v/>
      </c>
      <c r="N4" s="7">
        <f>IF(C4="","",IF(I4&gt;=100,"Hoàn thành",IF(K4&lt;0,"Trễ hạn",IF(I4=0,"Chưa bắt đầu",IF(M4&lt;-0.1,"Chậm so với kế hoạch","Đúng tiến độ")))))</f>
        <v/>
      </c>
    </row>
    <row r="5">
      <c r="A5" s="2" t="n">
        <v>4</v>
      </c>
      <c r="B5" s="3" t="inlineStr">
        <is>
          <t>CV004</t>
        </is>
      </c>
      <c r="C5" s="3" t="inlineStr">
        <is>
          <t>Bảo trì định kỳ dây chuyền đóng gói</t>
        </is>
      </c>
      <c r="D5" s="3" t="inlineStr">
        <is>
          <t>Phạm Thị Lan</t>
        </is>
      </c>
      <c r="E5" s="3" t="inlineStr">
        <is>
          <t>Kỹ thuật</t>
        </is>
      </c>
      <c r="F5" s="3" t="inlineStr">
        <is>
          <t>Trung bình</t>
        </is>
      </c>
      <c r="G5" s="4" t="n">
        <v>46235</v>
      </c>
      <c r="H5" s="4" t="n">
        <v>46244</v>
      </c>
      <c r="I5" s="2" t="n">
        <v>0</v>
      </c>
      <c r="J5" s="4" t="n">
        <v>46227</v>
      </c>
      <c r="K5" s="5">
        <f>IF(C5="","",H5-J5)</f>
        <v/>
      </c>
      <c r="L5" s="6">
        <f>IF(C5="","",IFERROR(MIN(1,MAX(0,(J5-G5)/(H5-G5))),0))</f>
        <v/>
      </c>
      <c r="M5" s="6">
        <f>IF(C5="","",I5/100-L5)</f>
        <v/>
      </c>
      <c r="N5" s="7">
        <f>IF(C5="","",IF(I5&gt;=100,"Hoàn thành",IF(K5&lt;0,"Trễ hạn",IF(I5=0,"Chưa bắt đầu",IF(M5&lt;-0.1,"Chậm so với kế hoạch","Đúng tiến độ")))))</f>
        <v/>
      </c>
    </row>
    <row r="6">
      <c r="A6" s="2" t="n">
        <v>5</v>
      </c>
      <c r="B6" s="3" t="inlineStr">
        <is>
          <t>CV005</t>
        </is>
      </c>
      <c r="C6" s="3" t="inlineStr">
        <is>
          <t>Chuẩn hóa quy trình xét duyệt đơn hàng</t>
        </is>
      </c>
      <c r="D6" s="3" t="inlineStr">
        <is>
          <t>Nguyễn Văn Minh</t>
        </is>
      </c>
      <c r="E6" s="3" t="inlineStr">
        <is>
          <t>Kinh doanh</t>
        </is>
      </c>
      <c r="F6" s="3" t="inlineStr">
        <is>
          <t>Thấp</t>
        </is>
      </c>
      <c r="G6" s="4" t="n">
        <v>46188</v>
      </c>
      <c r="H6" s="4" t="n">
        <v>46218</v>
      </c>
      <c r="I6" s="2" t="n">
        <v>100</v>
      </c>
      <c r="J6" s="4" t="n">
        <v>46227</v>
      </c>
      <c r="K6" s="5">
        <f>IF(C6="","",H6-J6)</f>
        <v/>
      </c>
      <c r="L6" s="6">
        <f>IF(C6="","",IFERROR(MIN(1,MAX(0,(J6-G6)/(H6-G6))),0))</f>
        <v/>
      </c>
      <c r="M6" s="6">
        <f>IF(C6="","",I6/100-L6)</f>
        <v/>
      </c>
      <c r="N6" s="7">
        <f>IF(C6="","",IF(I6&gt;=100,"Hoàn thành",IF(K6&lt;0,"Trễ hạn",IF(I6=0,"Chưa bắt đầu",IF(M6&lt;-0.1,"Chậm so với kế hoạch","Đúng tiến độ")))))</f>
        <v/>
      </c>
    </row>
    <row r="7">
      <c r="A7" s="2" t="n">
        <v>6</v>
      </c>
      <c r="B7" s="3" t="inlineStr">
        <is>
          <t>CV006</t>
        </is>
      </c>
      <c r="C7" s="3" t="inlineStr">
        <is>
          <t>Lập báo cáo phân tích chi phí sản xuất</t>
        </is>
      </c>
      <c r="D7" s="3" t="inlineStr">
        <is>
          <t>Vũ Minh Châu</t>
        </is>
      </c>
      <c r="E7" s="3" t="inlineStr">
        <is>
          <t>Kế toán</t>
        </is>
      </c>
      <c r="F7" s="3" t="inlineStr">
        <is>
          <t>Cao</t>
        </is>
      </c>
      <c r="G7" s="4" t="n">
        <v>46211</v>
      </c>
      <c r="H7" s="4" t="n">
        <v>46231</v>
      </c>
      <c r="I7" s="2" t="n">
        <v>45</v>
      </c>
      <c r="J7" s="4" t="n">
        <v>46227</v>
      </c>
      <c r="K7" s="5">
        <f>IF(C7="","",H7-J7)</f>
        <v/>
      </c>
      <c r="L7" s="6">
        <f>IF(C7="","",IFERROR(MIN(1,MAX(0,(J7-G7)/(H7-G7))),0))</f>
        <v/>
      </c>
      <c r="M7" s="6">
        <f>IF(C7="","",I7/100-L7)</f>
        <v/>
      </c>
      <c r="N7" s="7">
        <f>IF(C7="","",IF(I7&gt;=100,"Hoàn thành",IF(K7&lt;0,"Trễ hạn",IF(I7=0,"Chưa bắt đầu",IF(M7&lt;-0.1,"Chậm so với kế hoạch","Đúng tiến độ")))))</f>
        <v/>
      </c>
    </row>
    <row r="8">
      <c r="A8" s="2" t="n"/>
      <c r="B8" s="3" t="n"/>
      <c r="C8" s="3" t="n"/>
      <c r="D8" s="3" t="n"/>
      <c r="E8" s="3" t="n"/>
      <c r="F8" s="3" t="n"/>
      <c r="G8" s="4" t="n"/>
      <c r="H8" s="4" t="n"/>
      <c r="I8" s="2" t="n"/>
      <c r="J8" s="4" t="n"/>
      <c r="K8" s="5">
        <f>IF(C8="","",H8-J8)</f>
        <v/>
      </c>
      <c r="L8" s="6">
        <f>IF(C8="","",IFERROR(MIN(1,MAX(0,(J8-G8)/(H8-G8))),0))</f>
        <v/>
      </c>
      <c r="M8" s="6">
        <f>IF(C8="","",I8/100-L8)</f>
        <v/>
      </c>
      <c r="N8" s="7">
        <f>IF(C8="","",IF(I8&gt;=100,"Hoàn thành",IF(K8&lt;0,"Trễ hạn",IF(I8=0,"Chưa bắt đầu",IF(M8&lt;-0.1,"Chậm so với kế hoạch","Đúng tiến độ")))))</f>
        <v/>
      </c>
    </row>
    <row r="9">
      <c r="A9" s="2" t="n"/>
      <c r="B9" s="3" t="n"/>
      <c r="C9" s="3" t="n"/>
      <c r="D9" s="3" t="n"/>
      <c r="E9" s="3" t="n"/>
      <c r="F9" s="3" t="n"/>
      <c r="G9" s="4" t="n"/>
      <c r="H9" s="4" t="n"/>
      <c r="I9" s="2" t="n"/>
      <c r="J9" s="4" t="n"/>
      <c r="K9" s="5">
        <f>IF(C9="","",H9-J9)</f>
        <v/>
      </c>
      <c r="L9" s="6">
        <f>IF(C9="","",IFERROR(MIN(1,MAX(0,(J9-G9)/(H9-G9))),0))</f>
        <v/>
      </c>
      <c r="M9" s="6">
        <f>IF(C9="","",I9/100-L9)</f>
        <v/>
      </c>
      <c r="N9" s="7">
        <f>IF(C9="","",IF(I9&gt;=100,"Hoàn thành",IF(K9&lt;0,"Trễ hạn",IF(I9=0,"Chưa bắt đầu",IF(M9&lt;-0.1,"Chậm so với kế hoạch","Đúng tiến độ")))))</f>
        <v/>
      </c>
    </row>
    <row r="10">
      <c r="A10" s="2" t="n"/>
      <c r="B10" s="3" t="n"/>
      <c r="C10" s="3" t="n"/>
      <c r="D10" s="3" t="n"/>
      <c r="E10" s="3" t="n"/>
      <c r="F10" s="3" t="n"/>
      <c r="G10" s="4" t="n"/>
      <c r="H10" s="4" t="n"/>
      <c r="I10" s="2" t="n"/>
      <c r="J10" s="4" t="n"/>
      <c r="K10" s="5">
        <f>IF(C10="","",H10-J10)</f>
        <v/>
      </c>
      <c r="L10" s="6">
        <f>IF(C10="","",IFERROR(MIN(1,MAX(0,(J10-G10)/(H10-G10))),0))</f>
        <v/>
      </c>
      <c r="M10" s="6">
        <f>IF(C10="","",I10/100-L10)</f>
        <v/>
      </c>
      <c r="N10" s="7">
        <f>IF(C10="","",IF(I10&gt;=100,"Hoàn thành",IF(K10&lt;0,"Trễ hạn",IF(I10=0,"Chưa bắt đầu",IF(M10&lt;-0.1,"Chậm so với kế hoạch","Đúng tiến độ")))))</f>
        <v/>
      </c>
    </row>
    <row r="11">
      <c r="A11" s="2" t="n"/>
      <c r="B11" s="3" t="n"/>
      <c r="C11" s="3" t="n"/>
      <c r="D11" s="3" t="n"/>
      <c r="E11" s="3" t="n"/>
      <c r="F11" s="3" t="n"/>
      <c r="G11" s="4" t="n"/>
      <c r="H11" s="4" t="n"/>
      <c r="I11" s="2" t="n"/>
      <c r="J11" s="4" t="n"/>
      <c r="K11" s="5">
        <f>IF(C11="","",H11-J11)</f>
        <v/>
      </c>
      <c r="L11" s="6">
        <f>IF(C11="","",IFERROR(MIN(1,MAX(0,(J11-G11)/(H11-G11))),0))</f>
        <v/>
      </c>
      <c r="M11" s="6">
        <f>IF(C11="","",I11/100-L11)</f>
        <v/>
      </c>
      <c r="N11" s="7">
        <f>IF(C11="","",IF(I11&gt;=100,"Hoàn thành",IF(K11&lt;0,"Trễ hạn",IF(I11=0,"Chưa bắt đầu",IF(M11&lt;-0.1,"Chậm so với kế hoạch","Đúng tiến độ")))))</f>
        <v/>
      </c>
    </row>
    <row r="12">
      <c r="A12" s="2" t="n"/>
      <c r="B12" s="3" t="n"/>
      <c r="C12" s="3" t="n"/>
      <c r="D12" s="3" t="n"/>
      <c r="E12" s="3" t="n"/>
      <c r="F12" s="3" t="n"/>
      <c r="G12" s="4" t="n"/>
      <c r="H12" s="4" t="n"/>
      <c r="I12" s="2" t="n"/>
      <c r="J12" s="4" t="n"/>
      <c r="K12" s="5">
        <f>IF(C12="","",H12-J12)</f>
        <v/>
      </c>
      <c r="L12" s="6">
        <f>IF(C12="","",IFERROR(MIN(1,MAX(0,(J12-G12)/(H12-G12))),0))</f>
        <v/>
      </c>
      <c r="M12" s="6">
        <f>IF(C12="","",I12/100-L12)</f>
        <v/>
      </c>
      <c r="N12" s="7">
        <f>IF(C12="","",IF(I12&gt;=100,"Hoàn thành",IF(K12&lt;0,"Trễ hạn",IF(I12=0,"Chưa bắt đầu",IF(M12&lt;-0.1,"Chậm so với kế hoạch","Đúng tiến độ")))))</f>
        <v/>
      </c>
    </row>
    <row r="13">
      <c r="A13" s="2" t="n"/>
      <c r="B13" s="3" t="n"/>
      <c r="C13" s="3" t="n"/>
      <c r="D13" s="3" t="n"/>
      <c r="E13" s="3" t="n"/>
      <c r="F13" s="3" t="n"/>
      <c r="G13" s="4" t="n"/>
      <c r="H13" s="4" t="n"/>
      <c r="I13" s="2" t="n"/>
      <c r="J13" s="4" t="n"/>
      <c r="K13" s="5">
        <f>IF(C13="","",H13-J13)</f>
        <v/>
      </c>
      <c r="L13" s="6">
        <f>IF(C13="","",IFERROR(MIN(1,MAX(0,(J13-G13)/(H13-G13))),0))</f>
        <v/>
      </c>
      <c r="M13" s="6">
        <f>IF(C13="","",I13/100-L13)</f>
        <v/>
      </c>
      <c r="N13" s="7">
        <f>IF(C13="","",IF(I13&gt;=100,"Hoàn thành",IF(K13&lt;0,"Trễ hạn",IF(I13=0,"Chưa bắt đầu",IF(M13&lt;-0.1,"Chậm so với kế hoạch","Đúng tiến độ")))))</f>
        <v/>
      </c>
    </row>
    <row r="14">
      <c r="A14" s="2" t="n"/>
      <c r="B14" s="3" t="n"/>
      <c r="C14" s="3" t="n"/>
      <c r="D14" s="3" t="n"/>
      <c r="E14" s="3" t="n"/>
      <c r="F14" s="3" t="n"/>
      <c r="G14" s="4" t="n"/>
      <c r="H14" s="4" t="n"/>
      <c r="I14" s="2" t="n"/>
      <c r="J14" s="4" t="n"/>
      <c r="K14" s="5">
        <f>IF(C14="","",H14-J14)</f>
        <v/>
      </c>
      <c r="L14" s="6">
        <f>IF(C14="","",IFERROR(MIN(1,MAX(0,(J14-G14)/(H14-G14))),0))</f>
        <v/>
      </c>
      <c r="M14" s="6">
        <f>IF(C14="","",I14/100-L14)</f>
        <v/>
      </c>
      <c r="N14" s="7">
        <f>IF(C14="","",IF(I14&gt;=100,"Hoàn thành",IF(K14&lt;0,"Trễ hạn",IF(I14=0,"Chưa bắt đầu",IF(M14&lt;-0.1,"Chậm so với kế hoạch","Đúng tiến độ")))))</f>
        <v/>
      </c>
    </row>
    <row r="15">
      <c r="A15" s="2" t="n"/>
      <c r="B15" s="3" t="n"/>
      <c r="C15" s="3" t="n"/>
      <c r="D15" s="3" t="n"/>
      <c r="E15" s="3" t="n"/>
      <c r="F15" s="3" t="n"/>
      <c r="G15" s="4" t="n"/>
      <c r="H15" s="4" t="n"/>
      <c r="I15" s="2" t="n"/>
      <c r="J15" s="4" t="n"/>
      <c r="K15" s="5">
        <f>IF(C15="","",H15-J15)</f>
        <v/>
      </c>
      <c r="L15" s="6">
        <f>IF(C15="","",IFERROR(MIN(1,MAX(0,(J15-G15)/(H15-G15))),0))</f>
        <v/>
      </c>
      <c r="M15" s="6">
        <f>IF(C15="","",I15/100-L15)</f>
        <v/>
      </c>
      <c r="N15" s="7">
        <f>IF(C15="","",IF(I15&gt;=100,"Hoàn thành",IF(K15&lt;0,"Trễ hạn",IF(I15=0,"Chưa bắt đầu",IF(M15&lt;-0.1,"Chậm so với kế hoạch","Đúng tiến độ")))))</f>
        <v/>
      </c>
    </row>
    <row r="16">
      <c r="A16" s="2" t="n"/>
      <c r="B16" s="3" t="n"/>
      <c r="C16" s="3" t="n"/>
      <c r="D16" s="3" t="n"/>
      <c r="E16" s="3" t="n"/>
      <c r="F16" s="3" t="n"/>
      <c r="G16" s="4" t="n"/>
      <c r="H16" s="4" t="n"/>
      <c r="I16" s="2" t="n"/>
      <c r="J16" s="4" t="n"/>
      <c r="K16" s="5">
        <f>IF(C16="","",H16-J16)</f>
        <v/>
      </c>
      <c r="L16" s="6">
        <f>IF(C16="","",IFERROR(MIN(1,MAX(0,(J16-G16)/(H16-G16))),0))</f>
        <v/>
      </c>
      <c r="M16" s="6">
        <f>IF(C16="","",I16/100-L16)</f>
        <v/>
      </c>
      <c r="N16" s="7">
        <f>IF(C16="","",IF(I16&gt;=100,"Hoàn thành",IF(K16&lt;0,"Trễ hạn",IF(I16=0,"Chưa bắt đầu",IF(M16&lt;-0.1,"Chậm so với kế hoạch","Đúng tiến độ")))))</f>
        <v/>
      </c>
    </row>
    <row r="17">
      <c r="A17" s="2" t="n"/>
      <c r="B17" s="3" t="n"/>
      <c r="C17" s="3" t="n"/>
      <c r="D17" s="3" t="n"/>
      <c r="E17" s="3" t="n"/>
      <c r="F17" s="3" t="n"/>
      <c r="G17" s="4" t="n"/>
      <c r="H17" s="4" t="n"/>
      <c r="I17" s="2" t="n"/>
      <c r="J17" s="4" t="n"/>
      <c r="K17" s="5">
        <f>IF(C17="","",H17-J17)</f>
        <v/>
      </c>
      <c r="L17" s="6">
        <f>IF(C17="","",IFERROR(MIN(1,MAX(0,(J17-G17)/(H17-G17))),0))</f>
        <v/>
      </c>
      <c r="M17" s="6">
        <f>IF(C17="","",I17/100-L17)</f>
        <v/>
      </c>
      <c r="N17" s="7">
        <f>IF(C17="","",IF(I17&gt;=100,"Hoàn thành",IF(K17&lt;0,"Trễ hạn",IF(I17=0,"Chưa bắt đầu",IF(M17&lt;-0.1,"Chậm so với kế hoạch","Đúng tiến độ")))))</f>
        <v/>
      </c>
    </row>
    <row r="18">
      <c r="A18" s="2" t="n"/>
      <c r="B18" s="3" t="n"/>
      <c r="C18" s="3" t="n"/>
      <c r="D18" s="3" t="n"/>
      <c r="E18" s="3" t="n"/>
      <c r="F18" s="3" t="n"/>
      <c r="G18" s="4" t="n"/>
      <c r="H18" s="4" t="n"/>
      <c r="I18" s="2" t="n"/>
      <c r="J18" s="4" t="n"/>
      <c r="K18" s="5">
        <f>IF(C18="","",H18-J18)</f>
        <v/>
      </c>
      <c r="L18" s="6">
        <f>IF(C18="","",IFERROR(MIN(1,MAX(0,(J18-G18)/(H18-G18))),0))</f>
        <v/>
      </c>
      <c r="M18" s="6">
        <f>IF(C18="","",I18/100-L18)</f>
        <v/>
      </c>
      <c r="N18" s="7">
        <f>IF(C18="","",IF(I18&gt;=100,"Hoàn thành",IF(K18&lt;0,"Trễ hạn",IF(I18=0,"Chưa bắt đầu",IF(M18&lt;-0.1,"Chậm so với kế hoạch","Đúng tiến độ")))))</f>
        <v/>
      </c>
    </row>
    <row r="19">
      <c r="A19" s="2" t="n"/>
      <c r="B19" s="3" t="n"/>
      <c r="C19" s="3" t="n"/>
      <c r="D19" s="3" t="n"/>
      <c r="E19" s="3" t="n"/>
      <c r="F19" s="3" t="n"/>
      <c r="G19" s="4" t="n"/>
      <c r="H19" s="4" t="n"/>
      <c r="I19" s="2" t="n"/>
      <c r="J19" s="4" t="n"/>
      <c r="K19" s="5">
        <f>IF(C19="","",H19-J19)</f>
        <v/>
      </c>
      <c r="L19" s="6">
        <f>IF(C19="","",IFERROR(MIN(1,MAX(0,(J19-G19)/(H19-G19))),0))</f>
        <v/>
      </c>
      <c r="M19" s="6">
        <f>IF(C19="","",I19/100-L19)</f>
        <v/>
      </c>
      <c r="N19" s="7">
        <f>IF(C19="","",IF(I19&gt;=100,"Hoàn thành",IF(K19&lt;0,"Trễ hạn",IF(I19=0,"Chưa bắt đầu",IF(M19&lt;-0.1,"Chậm so với kế hoạch","Đúng tiến độ")))))</f>
        <v/>
      </c>
    </row>
    <row r="20">
      <c r="A20" s="2" t="n"/>
      <c r="B20" s="3" t="n"/>
      <c r="C20" s="3" t="n"/>
      <c r="D20" s="3" t="n"/>
      <c r="E20" s="3" t="n"/>
      <c r="F20" s="3" t="n"/>
      <c r="G20" s="4" t="n"/>
      <c r="H20" s="4" t="n"/>
      <c r="I20" s="2" t="n"/>
      <c r="J20" s="4" t="n"/>
      <c r="K20" s="5">
        <f>IF(C20="","",H20-J20)</f>
        <v/>
      </c>
      <c r="L20" s="6">
        <f>IF(C20="","",IFERROR(MIN(1,MAX(0,(J20-G20)/(H20-G20))),0))</f>
        <v/>
      </c>
      <c r="M20" s="6">
        <f>IF(C20="","",I20/100-L20)</f>
        <v/>
      </c>
      <c r="N20" s="7">
        <f>IF(C20="","",IF(I20&gt;=100,"Hoàn thành",IF(K20&lt;0,"Trễ hạn",IF(I20=0,"Chưa bắt đầu",IF(M20&lt;-0.1,"Chậm so với kế hoạch","Đúng tiến độ")))))</f>
        <v/>
      </c>
    </row>
    <row r="21">
      <c r="A21" s="2" t="n"/>
      <c r="B21" s="3" t="n"/>
      <c r="C21" s="3" t="n"/>
      <c r="D21" s="3" t="n"/>
      <c r="E21" s="3" t="n"/>
      <c r="F21" s="3" t="n"/>
      <c r="G21" s="4" t="n"/>
      <c r="H21" s="4" t="n"/>
      <c r="I21" s="2" t="n"/>
      <c r="J21" s="4" t="n"/>
      <c r="K21" s="5">
        <f>IF(C21="","",H21-J21)</f>
        <v/>
      </c>
      <c r="L21" s="6">
        <f>IF(C21="","",IFERROR(MIN(1,MAX(0,(J21-G21)/(H21-G21))),0))</f>
        <v/>
      </c>
      <c r="M21" s="6">
        <f>IF(C21="","",I21/100-L21)</f>
        <v/>
      </c>
      <c r="N21" s="7">
        <f>IF(C21="","",IF(I21&gt;=100,"Hoàn thành",IF(K21&lt;0,"Trễ hạn",IF(I21=0,"Chưa bắt đầu",IF(M21&lt;-0.1,"Chậm so với kế hoạch","Đúng tiến độ")))))</f>
        <v/>
      </c>
    </row>
    <row r="22">
      <c r="A22" s="2" t="n"/>
      <c r="B22" s="3" t="n"/>
      <c r="C22" s="3" t="n"/>
      <c r="D22" s="3" t="n"/>
      <c r="E22" s="3" t="n"/>
      <c r="F22" s="3" t="n"/>
      <c r="G22" s="4" t="n"/>
      <c r="H22" s="4" t="n"/>
      <c r="I22" s="2" t="n"/>
      <c r="J22" s="4" t="n"/>
      <c r="K22" s="5">
        <f>IF(C22="","",H22-J22)</f>
        <v/>
      </c>
      <c r="L22" s="6">
        <f>IF(C22="","",IFERROR(MIN(1,MAX(0,(J22-G22)/(H22-G22))),0))</f>
        <v/>
      </c>
      <c r="M22" s="6">
        <f>IF(C22="","",I22/100-L22)</f>
        <v/>
      </c>
      <c r="N22" s="7">
        <f>IF(C22="","",IF(I22&gt;=100,"Hoàn thành",IF(K22&lt;0,"Trễ hạn",IF(I22=0,"Chưa bắt đầu",IF(M22&lt;-0.1,"Chậm so với kế hoạch","Đúng tiến độ")))))</f>
        <v/>
      </c>
    </row>
    <row r="23">
      <c r="A23" s="2" t="n"/>
      <c r="B23" s="3" t="n"/>
      <c r="C23" s="3" t="n"/>
      <c r="D23" s="3" t="n"/>
      <c r="E23" s="3" t="n"/>
      <c r="F23" s="3" t="n"/>
      <c r="G23" s="4" t="n"/>
      <c r="H23" s="4" t="n"/>
      <c r="I23" s="2" t="n"/>
      <c r="J23" s="4" t="n"/>
      <c r="K23" s="5">
        <f>IF(C23="","",H23-J23)</f>
        <v/>
      </c>
      <c r="L23" s="6">
        <f>IF(C23="","",IFERROR(MIN(1,MAX(0,(J23-G23)/(H23-G23))),0))</f>
        <v/>
      </c>
      <c r="M23" s="6">
        <f>IF(C23="","",I23/100-L23)</f>
        <v/>
      </c>
      <c r="N23" s="7">
        <f>IF(C23="","",IF(I23&gt;=100,"Hoàn thành",IF(K23&lt;0,"Trễ hạn",IF(I23=0,"Chưa bắt đầu",IF(M23&lt;-0.1,"Chậm so với kế hoạch","Đúng tiến độ")))))</f>
        <v/>
      </c>
    </row>
    <row r="24">
      <c r="A24" s="2" t="n"/>
      <c r="B24" s="3" t="n"/>
      <c r="C24" s="3" t="n"/>
      <c r="D24" s="3" t="n"/>
      <c r="E24" s="3" t="n"/>
      <c r="F24" s="3" t="n"/>
      <c r="G24" s="4" t="n"/>
      <c r="H24" s="4" t="n"/>
      <c r="I24" s="2" t="n"/>
      <c r="J24" s="4" t="n"/>
      <c r="K24" s="5">
        <f>IF(C24="","",H24-J24)</f>
        <v/>
      </c>
      <c r="L24" s="6">
        <f>IF(C24="","",IFERROR(MIN(1,MAX(0,(J24-G24)/(H24-G24))),0))</f>
        <v/>
      </c>
      <c r="M24" s="6">
        <f>IF(C24="","",I24/100-L24)</f>
        <v/>
      </c>
      <c r="N24" s="7">
        <f>IF(C24="","",IF(I24&gt;=100,"Hoàn thành",IF(K24&lt;0,"Trễ hạn",IF(I24=0,"Chưa bắt đầu",IF(M24&lt;-0.1,"Chậm so với kế hoạch","Đúng tiến độ")))))</f>
        <v/>
      </c>
    </row>
    <row r="25">
      <c r="A25" s="2" t="n"/>
      <c r="B25" s="3" t="n"/>
      <c r="C25" s="3" t="n"/>
      <c r="D25" s="3" t="n"/>
      <c r="E25" s="3" t="n"/>
      <c r="F25" s="3" t="n"/>
      <c r="G25" s="4" t="n"/>
      <c r="H25" s="4" t="n"/>
      <c r="I25" s="2" t="n"/>
      <c r="J25" s="4" t="n"/>
      <c r="K25" s="5">
        <f>IF(C25="","",H25-J25)</f>
        <v/>
      </c>
      <c r="L25" s="6">
        <f>IF(C25="","",IFERROR(MIN(1,MAX(0,(J25-G25)/(H25-G25))),0))</f>
        <v/>
      </c>
      <c r="M25" s="6">
        <f>IF(C25="","",I25/100-L25)</f>
        <v/>
      </c>
      <c r="N25" s="7">
        <f>IF(C25="","",IF(I25&gt;=100,"Hoàn thành",IF(K25&lt;0,"Trễ hạn",IF(I25=0,"Chưa bắt đầu",IF(M25&lt;-0.1,"Chậm so với kế hoạch","Đúng tiến độ")))))</f>
        <v/>
      </c>
    </row>
    <row r="26">
      <c r="A26" s="2" t="n"/>
      <c r="B26" s="3" t="n"/>
      <c r="C26" s="3" t="n"/>
      <c r="D26" s="3" t="n"/>
      <c r="E26" s="3" t="n"/>
      <c r="F26" s="3" t="n"/>
      <c r="G26" s="4" t="n"/>
      <c r="H26" s="4" t="n"/>
      <c r="I26" s="2" t="n"/>
      <c r="J26" s="4" t="n"/>
      <c r="K26" s="5">
        <f>IF(C26="","",H26-J26)</f>
        <v/>
      </c>
      <c r="L26" s="6">
        <f>IF(C26="","",IFERROR(MIN(1,MAX(0,(J26-G26)/(H26-G26))),0))</f>
        <v/>
      </c>
      <c r="M26" s="6">
        <f>IF(C26="","",I26/100-L26)</f>
        <v/>
      </c>
      <c r="N26" s="7">
        <f>IF(C26="","",IF(I26&gt;=100,"Hoàn thành",IF(K26&lt;0,"Trễ hạn",IF(I26=0,"Chưa bắt đầu",IF(M26&lt;-0.1,"Chậm so với kế hoạch","Đúng tiến độ")))))</f>
        <v/>
      </c>
    </row>
    <row r="27">
      <c r="A27" s="2" t="n"/>
      <c r="B27" s="3" t="n"/>
      <c r="C27" s="3" t="n"/>
      <c r="D27" s="3" t="n"/>
      <c r="E27" s="3" t="n"/>
      <c r="F27" s="3" t="n"/>
      <c r="G27" s="4" t="n"/>
      <c r="H27" s="4" t="n"/>
      <c r="I27" s="2" t="n"/>
      <c r="J27" s="4" t="n"/>
      <c r="K27" s="5">
        <f>IF(C27="","",H27-J27)</f>
        <v/>
      </c>
      <c r="L27" s="6">
        <f>IF(C27="","",IFERROR(MIN(1,MAX(0,(J27-G27)/(H27-G27))),0))</f>
        <v/>
      </c>
      <c r="M27" s="6">
        <f>IF(C27="","",I27/100-L27)</f>
        <v/>
      </c>
      <c r="N27" s="7">
        <f>IF(C27="","",IF(I27&gt;=100,"Hoàn thành",IF(K27&lt;0,"Trễ hạn",IF(I27=0,"Chưa bắt đầu",IF(M27&lt;-0.1,"Chậm so với kế hoạch","Đúng tiến độ")))))</f>
        <v/>
      </c>
    </row>
    <row r="28">
      <c r="A28" s="2" t="n"/>
      <c r="B28" s="3" t="n"/>
      <c r="C28" s="3" t="n"/>
      <c r="D28" s="3" t="n"/>
      <c r="E28" s="3" t="n"/>
      <c r="F28" s="3" t="n"/>
      <c r="G28" s="4" t="n"/>
      <c r="H28" s="4" t="n"/>
      <c r="I28" s="2" t="n"/>
      <c r="J28" s="4" t="n"/>
      <c r="K28" s="5">
        <f>IF(C28="","",H28-J28)</f>
        <v/>
      </c>
      <c r="L28" s="6">
        <f>IF(C28="","",IFERROR(MIN(1,MAX(0,(J28-G28)/(H28-G28))),0))</f>
        <v/>
      </c>
      <c r="M28" s="6">
        <f>IF(C28="","",I28/100-L28)</f>
        <v/>
      </c>
      <c r="N28" s="7">
        <f>IF(C28="","",IF(I28&gt;=100,"Hoàn thành",IF(K28&lt;0,"Trễ hạn",IF(I28=0,"Chưa bắt đầu",IF(M28&lt;-0.1,"Chậm so với kế hoạch","Đúng tiến độ")))))</f>
        <v/>
      </c>
    </row>
    <row r="29">
      <c r="A29" s="2" t="n"/>
      <c r="B29" s="3" t="n"/>
      <c r="C29" s="3" t="n"/>
      <c r="D29" s="3" t="n"/>
      <c r="E29" s="3" t="n"/>
      <c r="F29" s="3" t="n"/>
      <c r="G29" s="4" t="n"/>
      <c r="H29" s="4" t="n"/>
      <c r="I29" s="2" t="n"/>
      <c r="J29" s="4" t="n"/>
      <c r="K29" s="5">
        <f>IF(C29="","",H29-J29)</f>
        <v/>
      </c>
      <c r="L29" s="6">
        <f>IF(C29="","",IFERROR(MIN(1,MAX(0,(J29-G29)/(H29-G29))),0))</f>
        <v/>
      </c>
      <c r="M29" s="6">
        <f>IF(C29="","",I29/100-L29)</f>
        <v/>
      </c>
      <c r="N29" s="7">
        <f>IF(C29="","",IF(I29&gt;=100,"Hoàn thành",IF(K29&lt;0,"Trễ hạn",IF(I29=0,"Chưa bắt đầu",IF(M29&lt;-0.1,"Chậm so với kế hoạch","Đúng tiến độ")))))</f>
        <v/>
      </c>
    </row>
    <row r="30">
      <c r="A30" s="2" t="n"/>
      <c r="B30" s="3" t="n"/>
      <c r="C30" s="3" t="n"/>
      <c r="D30" s="3" t="n"/>
      <c r="E30" s="3" t="n"/>
      <c r="F30" s="3" t="n"/>
      <c r="G30" s="4" t="n"/>
      <c r="H30" s="4" t="n"/>
      <c r="I30" s="2" t="n"/>
      <c r="J30" s="4" t="n"/>
      <c r="K30" s="5">
        <f>IF(C30="","",H30-J30)</f>
        <v/>
      </c>
      <c r="L30" s="6">
        <f>IF(C30="","",IFERROR(MIN(1,MAX(0,(J30-G30)/(H30-G30))),0))</f>
        <v/>
      </c>
      <c r="M30" s="6">
        <f>IF(C30="","",I30/100-L30)</f>
        <v/>
      </c>
      <c r="N30" s="7">
        <f>IF(C30="","",IF(I30&gt;=100,"Hoàn thành",IF(K30&lt;0,"Trễ hạn",IF(I30=0,"Chưa bắt đầu",IF(M30&lt;-0.1,"Chậm so với kế hoạch","Đúng tiến độ")))))</f>
        <v/>
      </c>
    </row>
    <row r="31">
      <c r="A31" s="2" t="n"/>
      <c r="B31" s="3" t="n"/>
      <c r="C31" s="3" t="n"/>
      <c r="D31" s="3" t="n"/>
      <c r="E31" s="3" t="n"/>
      <c r="F31" s="3" t="n"/>
      <c r="G31" s="4" t="n"/>
      <c r="H31" s="4" t="n"/>
      <c r="I31" s="2" t="n"/>
      <c r="J31" s="4" t="n"/>
      <c r="K31" s="5">
        <f>IF(C31="","",H31-J31)</f>
        <v/>
      </c>
      <c r="L31" s="6">
        <f>IF(C31="","",IFERROR(MIN(1,MAX(0,(J31-G31)/(H31-G31))),0))</f>
        <v/>
      </c>
      <c r="M31" s="6">
        <f>IF(C31="","",I31/100-L31)</f>
        <v/>
      </c>
      <c r="N31" s="7">
        <f>IF(C31="","",IF(I31&gt;=100,"Hoàn thành",IF(K31&lt;0,"Trễ hạn",IF(I31=0,"Chưa bắt đầu",IF(M31&lt;-0.1,"Chậm so với kế hoạch","Đúng tiến độ")))))</f>
        <v/>
      </c>
    </row>
    <row r="32">
      <c r="A32" s="2" t="n"/>
      <c r="B32" s="3" t="n"/>
      <c r="C32" s="3" t="n"/>
      <c r="D32" s="3" t="n"/>
      <c r="E32" s="3" t="n"/>
      <c r="F32" s="3" t="n"/>
      <c r="G32" s="4" t="n"/>
      <c r="H32" s="4" t="n"/>
      <c r="I32" s="2" t="n"/>
      <c r="J32" s="4" t="n"/>
      <c r="K32" s="5">
        <f>IF(C32="","",H32-J32)</f>
        <v/>
      </c>
      <c r="L32" s="6">
        <f>IF(C32="","",IFERROR(MIN(1,MAX(0,(J32-G32)/(H32-G32))),0))</f>
        <v/>
      </c>
      <c r="M32" s="6">
        <f>IF(C32="","",I32/100-L32)</f>
        <v/>
      </c>
      <c r="N32" s="7">
        <f>IF(C32="","",IF(I32&gt;=100,"Hoàn thành",IF(K32&lt;0,"Trễ hạn",IF(I32=0,"Chưa bắt đầu",IF(M32&lt;-0.1,"Chậm so với kế hoạch","Đúng tiến độ")))))</f>
        <v/>
      </c>
    </row>
    <row r="33">
      <c r="A33" s="2" t="n"/>
      <c r="B33" s="3" t="n"/>
      <c r="C33" s="3" t="n"/>
      <c r="D33" s="3" t="n"/>
      <c r="E33" s="3" t="n"/>
      <c r="F33" s="3" t="n"/>
      <c r="G33" s="4" t="n"/>
      <c r="H33" s="4" t="n"/>
      <c r="I33" s="2" t="n"/>
      <c r="J33" s="4" t="n"/>
      <c r="K33" s="5">
        <f>IF(C33="","",H33-J33)</f>
        <v/>
      </c>
      <c r="L33" s="6">
        <f>IF(C33="","",IFERROR(MIN(1,MAX(0,(J33-G33)/(H33-G33))),0))</f>
        <v/>
      </c>
      <c r="M33" s="6">
        <f>IF(C33="","",I33/100-L33)</f>
        <v/>
      </c>
      <c r="N33" s="7">
        <f>IF(C33="","",IF(I33&gt;=100,"Hoàn thành",IF(K33&lt;0,"Trễ hạn",IF(I33=0,"Chưa bắt đầu",IF(M33&lt;-0.1,"Chậm so với kế hoạch","Đúng tiến độ")))))</f>
        <v/>
      </c>
    </row>
    <row r="34">
      <c r="A34" s="2" t="n"/>
      <c r="B34" s="3" t="n"/>
      <c r="C34" s="3" t="n"/>
      <c r="D34" s="3" t="n"/>
      <c r="E34" s="3" t="n"/>
      <c r="F34" s="3" t="n"/>
      <c r="G34" s="4" t="n"/>
      <c r="H34" s="4" t="n"/>
      <c r="I34" s="2" t="n"/>
      <c r="J34" s="4" t="n"/>
      <c r="K34" s="5">
        <f>IF(C34="","",H34-J34)</f>
        <v/>
      </c>
      <c r="L34" s="6">
        <f>IF(C34="","",IFERROR(MIN(1,MAX(0,(J34-G34)/(H34-G34))),0))</f>
        <v/>
      </c>
      <c r="M34" s="6">
        <f>IF(C34="","",I34/100-L34)</f>
        <v/>
      </c>
      <c r="N34" s="7">
        <f>IF(C34="","",IF(I34&gt;=100,"Hoàn thành",IF(K34&lt;0,"Trễ hạn",IF(I34=0,"Chưa bắt đầu",IF(M34&lt;-0.1,"Chậm so với kế hoạch","Đúng tiến độ")))))</f>
        <v/>
      </c>
    </row>
    <row r="35">
      <c r="A35" s="2" t="n"/>
      <c r="B35" s="3" t="n"/>
      <c r="C35" s="3" t="n"/>
      <c r="D35" s="3" t="n"/>
      <c r="E35" s="3" t="n"/>
      <c r="F35" s="3" t="n"/>
      <c r="G35" s="4" t="n"/>
      <c r="H35" s="4" t="n"/>
      <c r="I35" s="2" t="n"/>
      <c r="J35" s="4" t="n"/>
      <c r="K35" s="5">
        <f>IF(C35="","",H35-J35)</f>
        <v/>
      </c>
      <c r="L35" s="6">
        <f>IF(C35="","",IFERROR(MIN(1,MAX(0,(J35-G35)/(H35-G35))),0))</f>
        <v/>
      </c>
      <c r="M35" s="6">
        <f>IF(C35="","",I35/100-L35)</f>
        <v/>
      </c>
      <c r="N35" s="7">
        <f>IF(C35="","",IF(I35&gt;=100,"Hoàn thành",IF(K35&lt;0,"Trễ hạn",IF(I35=0,"Chưa bắt đầu",IF(M35&lt;-0.1,"Chậm so với kế hoạch","Đúng tiến độ")))))</f>
        <v/>
      </c>
    </row>
    <row r="36">
      <c r="A36" s="2" t="n"/>
      <c r="B36" s="3" t="n"/>
      <c r="C36" s="3" t="n"/>
      <c r="D36" s="3" t="n"/>
      <c r="E36" s="3" t="n"/>
      <c r="F36" s="3" t="n"/>
      <c r="G36" s="4" t="n"/>
      <c r="H36" s="4" t="n"/>
      <c r="I36" s="2" t="n"/>
      <c r="J36" s="4" t="n"/>
      <c r="K36" s="5">
        <f>IF(C36="","",H36-J36)</f>
        <v/>
      </c>
      <c r="L36" s="6">
        <f>IF(C36="","",IFERROR(MIN(1,MAX(0,(J36-G36)/(H36-G36))),0))</f>
        <v/>
      </c>
      <c r="M36" s="6">
        <f>IF(C36="","",I36/100-L36)</f>
        <v/>
      </c>
      <c r="N36" s="7">
        <f>IF(C36="","",IF(I36&gt;=100,"Hoàn thành",IF(K36&lt;0,"Trễ hạn",IF(I36=0,"Chưa bắt đầu",IF(M36&lt;-0.1,"Chậm so với kế hoạch","Đúng tiến độ")))))</f>
        <v/>
      </c>
    </row>
    <row r="37">
      <c r="A37" s="2" t="n"/>
      <c r="B37" s="3" t="n"/>
      <c r="C37" s="3" t="n"/>
      <c r="D37" s="3" t="n"/>
      <c r="E37" s="3" t="n"/>
      <c r="F37" s="3" t="n"/>
      <c r="G37" s="4" t="n"/>
      <c r="H37" s="4" t="n"/>
      <c r="I37" s="2" t="n"/>
      <c r="J37" s="4" t="n"/>
      <c r="K37" s="5">
        <f>IF(C37="","",H37-J37)</f>
        <v/>
      </c>
      <c r="L37" s="6">
        <f>IF(C37="","",IFERROR(MIN(1,MAX(0,(J37-G37)/(H37-G37))),0))</f>
        <v/>
      </c>
      <c r="M37" s="6">
        <f>IF(C37="","",I37/100-L37)</f>
        <v/>
      </c>
      <c r="N37" s="7">
        <f>IF(C37="","",IF(I37&gt;=100,"Hoàn thành",IF(K37&lt;0,"Trễ hạn",IF(I37=0,"Chưa bắt đầu",IF(M37&lt;-0.1,"Chậm so với kế hoạch","Đúng tiến độ")))))</f>
        <v/>
      </c>
    </row>
  </sheetData>
  <autoFilter ref="A1:N37"/>
  <dataValidations count="3">
    <dataValidation sqref="E2:E37" showDropDown="0" showInputMessage="0" showErrorMessage="0" allowBlank="1" errorTitle="Sai định dạng" error="Giá trị không hợp lệ cho cột này." type="list">
      <formula1>"Kinh doanh,Marketing,Kế toán,Hành chính nhân sự,Sản xuất,Kỹ thuật,Kho vận"</formula1>
    </dataValidation>
    <dataValidation sqref="F2:F37" showDropDown="0" showInputMessage="0" showErrorMessage="0" allowBlank="1" errorTitle="Sai định dạng" error="Giá trị không hợp lệ cho cột này." type="list">
      <formula1>"Cao,Trung bình,Thấp"</formula1>
    </dataValidation>
    <dataValidation sqref="I2:I37" showDropDown="0" showInputMessage="0" showErrorMessage="0" allowBlank="1" errorTitle="Sai định dạng" error="Giá trị không hợp lệ cho cột này." type="decimal"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4"/>
  <sheetViews>
    <sheetView workbookViewId="0">
      <selection activeCell="A1" sqref="A1"/>
    </sheetView>
  </sheetViews>
  <sheetFormatPr baseColWidth="8" defaultRowHeight="15"/>
  <cols>
    <col width="4" customWidth="1" min="1" max="1"/>
    <col width="100" customWidth="1" min="2" max="2"/>
  </cols>
  <sheetData>
    <row r="1">
      <c r="B1" s="8" t="inlineStr">
        <is>
          <t>Mẫu Excel theo dõi tiến độ công việc (so với tiến độ kỳ vọng)</t>
        </is>
      </c>
    </row>
    <row r="2">
      <c r="B2" s="9" t="inlineStr"/>
    </row>
    <row r="3">
      <c r="B3" s="10" t="inlineStr">
        <is>
          <t>CÁCH DÙNG</t>
        </is>
      </c>
    </row>
    <row r="4">
      <c r="B4" s="11" t="inlineStr">
        <is>
          <t>1. Khai đầu việc với hai mốc thời gian</t>
        </is>
      </c>
    </row>
    <row r="5">
      <c r="B5" s="9" t="inlineStr">
        <is>
          <t xml:space="preserve">   Mỗi đầu việc một dòng, bắt buộc có ngày bắt đầu và hạn hoàn thành. Thiếu một trong hai mốc thì tiến độ kỳ vọng không tính được, và cả bảng rơi về mức ghi chép thuần túy.</t>
        </is>
      </c>
    </row>
    <row r="6">
      <c r="B6" s="11" t="inlineStr">
        <is>
          <t>2. Cập nhật phần trăm hoàn thành</t>
        </is>
      </c>
    </row>
    <row r="7">
      <c r="B7" s="9" t="inlineStr">
        <is>
          <t xml:space="preserve">   Nhập con số từ 0 đến 100 do người phụ trách tự báo. Nên thống nhất trước cách quy đổi, ví dụ chia đầu việc thành các mốc rõ ràng, nếu không mỗi người sẽ hiểu 70% một kiểu.</t>
        </is>
      </c>
    </row>
    <row r="8">
      <c r="B8" s="11" t="inlineStr">
        <is>
          <t>3. Nhập ngày chốt sổ</t>
        </is>
      </c>
    </row>
    <row r="9">
      <c r="B9" s="9" t="inlineStr">
        <is>
          <t xml:space="preserve">   Điền cùng một ngày cho mọi dòng, thường là ngày họp giao ban. Đây là mốc để tính tiến độ kỳ vọng và số ngày còn lại; file không dùng hàm lấy ngày hôm nay để bản in ra hôm nay và bản mở lại tuần sau vẫn cho cùng con số.</t>
        </is>
      </c>
    </row>
    <row r="10">
      <c r="B10" s="11" t="inlineStr">
        <is>
          <t>4. Đọc cột lệch tiến độ, không đọc cột phần trăm</t>
        </is>
      </c>
    </row>
    <row r="11">
      <c r="B11" s="9" t="inlineStr">
        <is>
          <t xml:space="preserve">   Sắp xếp cột Lệch tiến độ tăng dần, những dòng âm nhiều nhất nằm trên cùng — đó là danh sách cần hỏi trong cuộc họp. Cột phần trăm hoàn thành một mình không nói được việc nào đang có vấn đề.</t>
        </is>
      </c>
    </row>
    <row r="12">
      <c r="B12" s="9" t="inlineStr"/>
    </row>
    <row r="13">
      <c r="B13" s="10" t="inlineStr">
        <is>
          <t>CÔNG THỨC TRONG FILE</t>
        </is>
      </c>
    </row>
    <row r="14">
      <c r="B14" s="11" t="inlineStr">
        <is>
          <t>Số ngày còn lại  —  =IF(C2="","",H2-J2)</t>
        </is>
      </c>
    </row>
    <row r="15">
      <c r="B15" s="9" t="inlineStr">
        <is>
          <t xml:space="preserve">   Hạn hoàn thành trừ ngày chốt sổ. Cố ý không chặn số âm: số âm ở đây chính là số ngày đã quá hạn, một thông tin cần thấy chứ không phải lỗi cần giấu.</t>
        </is>
      </c>
    </row>
    <row r="16">
      <c r="B16" s="11" t="inlineStr">
        <is>
          <t>Tiến độ kỳ vọng  —  =IF(C2="","",IFERROR(MIN(1,MAX(0,(J2-G2)/(H2-G2))),0))</t>
        </is>
      </c>
    </row>
    <row r="17">
      <c r="B17" s="9" t="inlineStr">
        <is>
          <t xml:space="preserve">   Phần thời gian đã trôi qua của đầu việc. MAX(0;…) giữ việc chưa tới ngày bắt đầu ở mức 0% thay vì ra số âm, MIN(1;…) chặn việc đã quá hạn ở 100%. Bọc IFERROR cho trường hợp ngày bắt đầu trùng hạn hoàn thành, khi đó mẫu số bằng 0.</t>
        </is>
      </c>
    </row>
    <row r="18">
      <c r="B18" s="11" t="inlineStr">
        <is>
          <t>Lệch tiến độ  —  =IF(C2="","",I2/100-L2)</t>
        </is>
      </c>
    </row>
    <row r="19">
      <c r="B19" s="9" t="inlineStr">
        <is>
          <t xml:space="preserve">   Thực tế trừ kỳ vọng — cột đáng đọc nhất của cả bảng. Số âm là đang đi chậm hơn thời gian, và độ lớn của nó cho biết chậm tới mức nào. Chia phần trăm hoàn thành cho 100 vì cột đó nhập bằng số nguyên.</t>
        </is>
      </c>
    </row>
    <row r="20">
      <c r="B20" s="11" t="inlineStr">
        <is>
          <t>Trạng thái  —  =IF(C2="","",IF(I2&gt;=100,"Hoàn thành",IF(K2&lt;0,"Trễ hạn",IF(I2=0,"Chưa bắt đầu",IF(M2&lt;-0.1,"Chậm so với kế hoạch","Đúng tiến độ")))))</t>
        </is>
      </c>
    </row>
    <row r="21">
      <c r="B21" s="9" t="inlineStr">
        <is>
          <t xml:space="preserve">   Xét việc đã xong trước để nó không bao giờ bị gắn nhãn trễ. Trễ hạn tách khỏi chậm tiến độ vì hai nhóm này đòi hai hành động khác nhau: một bên còn cứu được bằng cách thêm người, một bên phải báo lại và đặt hạn mới. Ngưỡng 10% là biên độ bỏ qua, dưới mức đó thì coi như sai số của việc tự báo phần trăm.</t>
        </is>
      </c>
    </row>
    <row r="22">
      <c r="B22" s="9" t="inlineStr"/>
    </row>
    <row r="23">
      <c r="B23" s="11" t="inlineStr">
        <is>
          <t>Bản cập nhật mới nhất và hướng dẫn chi tiết:</t>
        </is>
      </c>
    </row>
    <row r="24">
      <c r="B24" s="12" t="inlineStr">
        <is>
          <t>https://excel.nguyenvietloc.com/mau-excel/quan-ly-cong-viec/bang-theo-doi-tien-do-cong-viec</t>
        </is>
      </c>
    </row>
  </sheetData>
  <hyperlinks>
    <hyperlink xmlns:r="http://schemas.openxmlformats.org/officeDocument/2006/relationships" ref="B2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2026-08-14T13:55:47Z</dcterms:created>
  <dcterms:modified xsi:type="dcterms:W3CDTF">2026-08-14T13:55:47Z</dcterms:modified>
</cp:coreProperties>
</file>