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ế hoạch tuần" sheetId="1" state="visible" r:id="rId1"/>
    <sheet name="Hướng dẫn" sheetId="2" state="visible" r:id="rId2"/>
  </sheets>
  <definedNames>
    <definedName name="_xlnm._FilterDatabase" localSheetId="0" hidden="1">'Kế hoạch tuần'!$A$1:$K$33</definedName>
  </definedNames>
  <calcPr calcId="124519" fullCalcOnLoad="1"/>
</workbook>
</file>

<file path=xl/styles.xml><?xml version="1.0" encoding="utf-8"?>
<styleSheet xmlns="http://schemas.openxmlformats.org/spreadsheetml/2006/main">
  <numFmts count="2">
    <numFmt numFmtId="164" formatCode="#,##0.##"/>
    <numFmt numFmtId="165" formatCode="0.0%"/>
  </numFmts>
  <fonts count="6">
    <font>
      <name val="Calibri"/>
      <family val="2"/>
      <color theme="1"/>
      <sz val="11"/>
      <scheme val="minor"/>
    </font>
    <font>
      <b val="1"/>
      <color rgb="00FFFFFF"/>
      <sz val="11"/>
    </font>
    <font>
      <b val="1"/>
      <sz val="14"/>
    </font>
    <font>
      <b val="1"/>
      <sz val="12"/>
    </font>
    <font>
      <b val="1"/>
    </font>
    <font>
      <color rgb="001D4ED8"/>
      <u val="single"/>
    </font>
  </fonts>
  <fills count="4">
    <fill>
      <patternFill/>
    </fill>
    <fill>
      <patternFill patternType="gray125"/>
    </fill>
    <fill>
      <patternFill patternType="solid">
        <fgColor rgb="001D4ED8"/>
      </patternFill>
    </fill>
    <fill>
      <patternFill patternType="solid">
        <fgColor rgb="00EFF6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164" fontId="0" fillId="0" borderId="1" pivotButton="0" quotePrefix="0" xfId="0"/>
    <xf numFmtId="49" fontId="0" fillId="0" borderId="1" pivotButton="0" quotePrefix="0" xfId="0"/>
    <xf numFmtId="164" fontId="0" fillId="3" borderId="1" pivotButton="0" quotePrefix="0" xfId="0"/>
    <xf numFmtId="165" fontId="0" fillId="3" borderId="1" pivotButton="0" quotePrefix="0" xfId="0"/>
    <xf numFmtId="49" fontId="0" fillId="3" borderId="1"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xcel.nguyenvietloc.com/mau-excel/quan-ly-cong-viec/ke-hoach-cong-viec-tuan" TargetMode="External" Id="rId1" /></Relationships>
</file>

<file path=xl/worksheets/sheet1.xml><?xml version="1.0" encoding="utf-8"?>
<worksheet xmlns="http://schemas.openxmlformats.org/spreadsheetml/2006/main">
  <sheetPr>
    <outlinePr summaryBelow="1" summaryRight="1"/>
    <pageSetUpPr/>
  </sheetPr>
  <dimension ref="A1:K33"/>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36" customWidth="1" min="3" max="3"/>
    <col width="30" customWidth="1" min="4" max="4"/>
    <col width="20" customWidth="1" min="5" max="5"/>
    <col width="13" customWidth="1" min="6" max="6"/>
    <col width="12" customWidth="1" min="7" max="7"/>
    <col width="14" customWidth="1" min="8" max="8"/>
    <col width="13" customWidth="1" min="9" max="9"/>
    <col width="15" customWidth="1" min="10" max="10"/>
    <col width="26" customWidth="1" min="11" max="11"/>
  </cols>
  <sheetData>
    <row r="1" ht="32" customHeight="1">
      <c r="A1" s="1" t="inlineStr">
        <is>
          <t>STT</t>
        </is>
      </c>
      <c r="B1" s="1" t="inlineStr">
        <is>
          <t>Ngày trong tuần</t>
        </is>
      </c>
      <c r="C1" s="1" t="inlineStr">
        <is>
          <t>Công việc</t>
        </is>
      </c>
      <c r="D1" s="1" t="inlineStr">
        <is>
          <t>Kết quả mong đợi</t>
        </is>
      </c>
      <c r="E1" s="1" t="inlineStr">
        <is>
          <t>Người thực hiện</t>
        </is>
      </c>
      <c r="F1" s="1" t="inlineStr">
        <is>
          <t>Giờ ước lượng</t>
        </is>
      </c>
      <c r="G1" s="1" t="inlineStr">
        <is>
          <t>Giờ thực tế</t>
        </is>
      </c>
      <c r="H1" s="1" t="inlineStr">
        <is>
          <t>Trạng thái</t>
        </is>
      </c>
      <c r="I1" s="1" t="inlineStr">
        <is>
          <t>Chênh lệch giờ</t>
        </is>
      </c>
      <c r="J1" s="1" t="inlineStr">
        <is>
          <t>Ước lượng chính xác</t>
        </is>
      </c>
      <c r="K1" s="1" t="inlineStr">
        <is>
          <t>Đánh giá</t>
        </is>
      </c>
    </row>
    <row r="2">
      <c r="A2" s="2" t="n">
        <v>1</v>
      </c>
      <c r="B2" s="3" t="inlineStr">
        <is>
          <t>Thứ hai</t>
        </is>
      </c>
      <c r="C2" s="3" t="inlineStr">
        <is>
          <t>Rà soát và chốt báo giá cho ba khách hàng mới</t>
        </is>
      </c>
      <c r="D2" s="3" t="inlineStr">
        <is>
          <t>Ba báo giá đã gửi đi</t>
        </is>
      </c>
      <c r="E2" s="3" t="inlineStr">
        <is>
          <t>Nguyễn Văn Minh</t>
        </is>
      </c>
      <c r="F2" s="2" t="n">
        <v>3</v>
      </c>
      <c r="G2" s="2" t="n">
        <v>4.5</v>
      </c>
      <c r="H2" s="3" t="inlineStr">
        <is>
          <t>Hoàn thành</t>
        </is>
      </c>
      <c r="I2" s="4">
        <f>IF(C2="","",G2-F2)</f>
        <v/>
      </c>
      <c r="J2" s="5">
        <f>IF(C2="","",IFERROR(F2/G2,0))</f>
        <v/>
      </c>
      <c r="K2" s="6">
        <f>IF(C2="","",IF(H2="Hủy","Đã hủy",IF(H2&lt;&gt;"Hoàn thành","Chưa xong",IF(I2&gt;F2*0.5,"Vượt giờ nhiều",IF(I2&gt;0,"Vượt giờ nhẹ","Đúng hoặc dưới ước lượng")))))</f>
        <v/>
      </c>
    </row>
    <row r="3">
      <c r="A3" s="2" t="n">
        <v>2</v>
      </c>
      <c r="B3" s="3" t="inlineStr">
        <is>
          <t>Thứ hai</t>
        </is>
      </c>
      <c r="C3" s="3" t="inlineStr">
        <is>
          <t>Họp giao ban đầu tuần với các trưởng bộ phận</t>
        </is>
      </c>
      <c r="D3" s="3" t="inlineStr">
        <is>
          <t>Biên bản họp và danh sách việc đã phân</t>
        </is>
      </c>
      <c r="E3" s="3" t="inlineStr">
        <is>
          <t>Nguyễn Văn Minh</t>
        </is>
      </c>
      <c r="F3" s="2" t="n">
        <v>1.5</v>
      </c>
      <c r="G3" s="2" t="n">
        <v>1.5</v>
      </c>
      <c r="H3" s="3" t="inlineStr">
        <is>
          <t>Hoàn thành</t>
        </is>
      </c>
      <c r="I3" s="4">
        <f>IF(C3="","",G3-F3)</f>
        <v/>
      </c>
      <c r="J3" s="5">
        <f>IF(C3="","",IFERROR(F3/G3,0))</f>
        <v/>
      </c>
      <c r="K3" s="6">
        <f>IF(C3="","",IF(H3="Hủy","Đã hủy",IF(H3&lt;&gt;"Hoàn thành","Chưa xong",IF(I3&gt;F3*0.5,"Vượt giờ nhiều",IF(I3&gt;0,"Vượt giờ nhẹ","Đúng hoặc dưới ước lượng")))))</f>
        <v/>
      </c>
    </row>
    <row r="4">
      <c r="A4" s="2" t="n">
        <v>3</v>
      </c>
      <c r="B4" s="3" t="inlineStr">
        <is>
          <t>Thứ ba</t>
        </is>
      </c>
      <c r="C4" s="3" t="inlineStr">
        <is>
          <t>Viết nội dung cho chiến dịch quảng cáo tháng 8</t>
        </is>
      </c>
      <c r="D4" s="3" t="inlineStr">
        <is>
          <t>Bản nháp nội dung cho năm mẫu quảng cáo</t>
        </is>
      </c>
      <c r="E4" s="3" t="inlineStr">
        <is>
          <t>Lê Quốc Bảo</t>
        </is>
      </c>
      <c r="F4" s="2" t="n">
        <v>4</v>
      </c>
      <c r="G4" s="2" t="n">
        <v>7</v>
      </c>
      <c r="H4" s="3" t="inlineStr">
        <is>
          <t>Hoàn thành</t>
        </is>
      </c>
      <c r="I4" s="4">
        <f>IF(C4="","",G4-F4)</f>
        <v/>
      </c>
      <c r="J4" s="5">
        <f>IF(C4="","",IFERROR(F4/G4,0))</f>
        <v/>
      </c>
      <c r="K4" s="6">
        <f>IF(C4="","",IF(H4="Hủy","Đã hủy",IF(H4&lt;&gt;"Hoàn thành","Chưa xong",IF(I4&gt;F4*0.5,"Vượt giờ nhiều",IF(I4&gt;0,"Vượt giờ nhẹ","Đúng hoặc dưới ước lượng")))))</f>
        <v/>
      </c>
    </row>
    <row r="5">
      <c r="A5" s="2" t="n">
        <v>4</v>
      </c>
      <c r="B5" s="3" t="inlineStr">
        <is>
          <t>Thứ tư</t>
        </is>
      </c>
      <c r="C5" s="3" t="inlineStr">
        <is>
          <t>Đối chiếu công nợ phải thu với sổ chi tiết</t>
        </is>
      </c>
      <c r="D5" s="3" t="inlineStr">
        <is>
          <t>Danh sách chênh lệch cần làm rõ</t>
        </is>
      </c>
      <c r="E5" s="3" t="inlineStr">
        <is>
          <t>Vũ Minh Châu</t>
        </is>
      </c>
      <c r="F5" s="2" t="n">
        <v>5</v>
      </c>
      <c r="G5" s="2" t="n">
        <v>4</v>
      </c>
      <c r="H5" s="3" t="inlineStr">
        <is>
          <t>Hoàn thành</t>
        </is>
      </c>
      <c r="I5" s="4">
        <f>IF(C5="","",G5-F5)</f>
        <v/>
      </c>
      <c r="J5" s="5">
        <f>IF(C5="","",IFERROR(F5/G5,0))</f>
        <v/>
      </c>
      <c r="K5" s="6">
        <f>IF(C5="","",IF(H5="Hủy","Đã hủy",IF(H5&lt;&gt;"Hoàn thành","Chưa xong",IF(I5&gt;F5*0.5,"Vượt giờ nhiều",IF(I5&gt;0,"Vượt giờ nhẹ","Đúng hoặc dưới ước lượng")))))</f>
        <v/>
      </c>
    </row>
    <row r="6">
      <c r="A6" s="2" t="n">
        <v>5</v>
      </c>
      <c r="B6" s="3" t="inlineStr">
        <is>
          <t>Thứ năm</t>
        </is>
      </c>
      <c r="C6" s="3" t="inlineStr">
        <is>
          <t>Đào tạo nhân viên mới về quy trình nhập kho</t>
        </is>
      </c>
      <c r="D6" s="3" t="inlineStr">
        <is>
          <t>Hai nhân viên tự thao tác được</t>
        </is>
      </c>
      <c r="E6" s="3" t="inlineStr">
        <is>
          <t>Đỗ Hoàng Nam</t>
        </is>
      </c>
      <c r="F6" s="2" t="n">
        <v>3</v>
      </c>
      <c r="G6" s="2" t="n">
        <v>0</v>
      </c>
      <c r="H6" s="3" t="inlineStr">
        <is>
          <t>Đang làm</t>
        </is>
      </c>
      <c r="I6" s="4">
        <f>IF(C6="","",G6-F6)</f>
        <v/>
      </c>
      <c r="J6" s="5">
        <f>IF(C6="","",IFERROR(F6/G6,0))</f>
        <v/>
      </c>
      <c r="K6" s="6">
        <f>IF(C6="","",IF(H6="Hủy","Đã hủy",IF(H6&lt;&gt;"Hoàn thành","Chưa xong",IF(I6&gt;F6*0.5,"Vượt giờ nhiều",IF(I6&gt;0,"Vượt giờ nhẹ","Đúng hoặc dưới ước lượng")))))</f>
        <v/>
      </c>
    </row>
    <row r="7">
      <c r="A7" s="2" t="n">
        <v>6</v>
      </c>
      <c r="B7" s="3" t="inlineStr">
        <is>
          <t>Thứ sáu</t>
        </is>
      </c>
      <c r="C7" s="3" t="inlineStr">
        <is>
          <t>Chuẩn bị hồ sơ dự thầu gói cung cấp vật tư</t>
        </is>
      </c>
      <c r="D7" s="3" t="inlineStr">
        <is>
          <t>Hồ sơ đủ điều kiện nộp</t>
        </is>
      </c>
      <c r="E7" s="3" t="inlineStr">
        <is>
          <t>Phạm Thị Lan</t>
        </is>
      </c>
      <c r="F7" s="2" t="n">
        <v>6</v>
      </c>
      <c r="G7" s="2" t="n">
        <v>0</v>
      </c>
      <c r="H7" s="3" t="inlineStr">
        <is>
          <t>Chưa làm</t>
        </is>
      </c>
      <c r="I7" s="4">
        <f>IF(C7="","",G7-F7)</f>
        <v/>
      </c>
      <c r="J7" s="5">
        <f>IF(C7="","",IFERROR(F7/G7,0))</f>
        <v/>
      </c>
      <c r="K7" s="6">
        <f>IF(C7="","",IF(H7="Hủy","Đã hủy",IF(H7&lt;&gt;"Hoàn thành","Chưa xong",IF(I7&gt;F7*0.5,"Vượt giờ nhiều",IF(I7&gt;0,"Vượt giờ nhẹ","Đúng hoặc dưới ước lượng")))))</f>
        <v/>
      </c>
    </row>
    <row r="8">
      <c r="A8" s="2" t="n">
        <v>7</v>
      </c>
      <c r="B8" s="3" t="inlineStr">
        <is>
          <t>Thứ sáu</t>
        </is>
      </c>
      <c r="C8" s="3" t="inlineStr">
        <is>
          <t>Khảo sát nhà cung cấp bao bì mới</t>
        </is>
      </c>
      <c r="D8" s="3" t="inlineStr">
        <is>
          <t>Bảng so sánh ba nhà cung cấp</t>
        </is>
      </c>
      <c r="E8" s="3" t="inlineStr">
        <is>
          <t>Trần Thu Hà</t>
        </is>
      </c>
      <c r="F8" s="2" t="n">
        <v>4</v>
      </c>
      <c r="G8" s="2" t="n">
        <v>0</v>
      </c>
      <c r="H8" s="3" t="inlineStr">
        <is>
          <t>Hủy</t>
        </is>
      </c>
      <c r="I8" s="4">
        <f>IF(C8="","",G8-F8)</f>
        <v/>
      </c>
      <c r="J8" s="5">
        <f>IF(C8="","",IFERROR(F8/G8,0))</f>
        <v/>
      </c>
      <c r="K8" s="6">
        <f>IF(C8="","",IF(H8="Hủy","Đã hủy",IF(H8&lt;&gt;"Hoàn thành","Chưa xong",IF(I8&gt;F8*0.5,"Vượt giờ nhiều",IF(I8&gt;0,"Vượt giờ nhẹ","Đúng hoặc dưới ước lượng")))))</f>
        <v/>
      </c>
    </row>
    <row r="9">
      <c r="A9" s="2" t="n"/>
      <c r="B9" s="3" t="n"/>
      <c r="C9" s="3" t="n"/>
      <c r="D9" s="3" t="n"/>
      <c r="E9" s="3" t="n"/>
      <c r="F9" s="2" t="n"/>
      <c r="G9" s="2" t="n"/>
      <c r="H9" s="3" t="n"/>
      <c r="I9" s="4">
        <f>IF(C9="","",G9-F9)</f>
        <v/>
      </c>
      <c r="J9" s="5">
        <f>IF(C9="","",IFERROR(F9/G9,0))</f>
        <v/>
      </c>
      <c r="K9" s="6">
        <f>IF(C9="","",IF(H9="Hủy","Đã hủy",IF(H9&lt;&gt;"Hoàn thành","Chưa xong",IF(I9&gt;F9*0.5,"Vượt giờ nhiều",IF(I9&gt;0,"Vượt giờ nhẹ","Đúng hoặc dưới ước lượng")))))</f>
        <v/>
      </c>
    </row>
    <row r="10">
      <c r="A10" s="2" t="n"/>
      <c r="B10" s="3" t="n"/>
      <c r="C10" s="3" t="n"/>
      <c r="D10" s="3" t="n"/>
      <c r="E10" s="3" t="n"/>
      <c r="F10" s="2" t="n"/>
      <c r="G10" s="2" t="n"/>
      <c r="H10" s="3" t="n"/>
      <c r="I10" s="4">
        <f>IF(C10="","",G10-F10)</f>
        <v/>
      </c>
      <c r="J10" s="5">
        <f>IF(C10="","",IFERROR(F10/G10,0))</f>
        <v/>
      </c>
      <c r="K10" s="6">
        <f>IF(C10="","",IF(H10="Hủy","Đã hủy",IF(H10&lt;&gt;"Hoàn thành","Chưa xong",IF(I10&gt;F10*0.5,"Vượt giờ nhiều",IF(I10&gt;0,"Vượt giờ nhẹ","Đúng hoặc dưới ước lượng")))))</f>
        <v/>
      </c>
    </row>
    <row r="11">
      <c r="A11" s="2" t="n"/>
      <c r="B11" s="3" t="n"/>
      <c r="C11" s="3" t="n"/>
      <c r="D11" s="3" t="n"/>
      <c r="E11" s="3" t="n"/>
      <c r="F11" s="2" t="n"/>
      <c r="G11" s="2" t="n"/>
      <c r="H11" s="3" t="n"/>
      <c r="I11" s="4">
        <f>IF(C11="","",G11-F11)</f>
        <v/>
      </c>
      <c r="J11" s="5">
        <f>IF(C11="","",IFERROR(F11/G11,0))</f>
        <v/>
      </c>
      <c r="K11" s="6">
        <f>IF(C11="","",IF(H11="Hủy","Đã hủy",IF(H11&lt;&gt;"Hoàn thành","Chưa xong",IF(I11&gt;F11*0.5,"Vượt giờ nhiều",IF(I11&gt;0,"Vượt giờ nhẹ","Đúng hoặc dưới ước lượng")))))</f>
        <v/>
      </c>
    </row>
    <row r="12">
      <c r="A12" s="2" t="n"/>
      <c r="B12" s="3" t="n"/>
      <c r="C12" s="3" t="n"/>
      <c r="D12" s="3" t="n"/>
      <c r="E12" s="3" t="n"/>
      <c r="F12" s="2" t="n"/>
      <c r="G12" s="2" t="n"/>
      <c r="H12" s="3" t="n"/>
      <c r="I12" s="4">
        <f>IF(C12="","",G12-F12)</f>
        <v/>
      </c>
      <c r="J12" s="5">
        <f>IF(C12="","",IFERROR(F12/G12,0))</f>
        <v/>
      </c>
      <c r="K12" s="6">
        <f>IF(C12="","",IF(H12="Hủy","Đã hủy",IF(H12&lt;&gt;"Hoàn thành","Chưa xong",IF(I12&gt;F12*0.5,"Vượt giờ nhiều",IF(I12&gt;0,"Vượt giờ nhẹ","Đúng hoặc dưới ước lượng")))))</f>
        <v/>
      </c>
    </row>
    <row r="13">
      <c r="A13" s="2" t="n"/>
      <c r="B13" s="3" t="n"/>
      <c r="C13" s="3" t="n"/>
      <c r="D13" s="3" t="n"/>
      <c r="E13" s="3" t="n"/>
      <c r="F13" s="2" t="n"/>
      <c r="G13" s="2" t="n"/>
      <c r="H13" s="3" t="n"/>
      <c r="I13" s="4">
        <f>IF(C13="","",G13-F13)</f>
        <v/>
      </c>
      <c r="J13" s="5">
        <f>IF(C13="","",IFERROR(F13/G13,0))</f>
        <v/>
      </c>
      <c r="K13" s="6">
        <f>IF(C13="","",IF(H13="Hủy","Đã hủy",IF(H13&lt;&gt;"Hoàn thành","Chưa xong",IF(I13&gt;F13*0.5,"Vượt giờ nhiều",IF(I13&gt;0,"Vượt giờ nhẹ","Đúng hoặc dưới ước lượng")))))</f>
        <v/>
      </c>
    </row>
    <row r="14">
      <c r="A14" s="2" t="n"/>
      <c r="B14" s="3" t="n"/>
      <c r="C14" s="3" t="n"/>
      <c r="D14" s="3" t="n"/>
      <c r="E14" s="3" t="n"/>
      <c r="F14" s="2" t="n"/>
      <c r="G14" s="2" t="n"/>
      <c r="H14" s="3" t="n"/>
      <c r="I14" s="4">
        <f>IF(C14="","",G14-F14)</f>
        <v/>
      </c>
      <c r="J14" s="5">
        <f>IF(C14="","",IFERROR(F14/G14,0))</f>
        <v/>
      </c>
      <c r="K14" s="6">
        <f>IF(C14="","",IF(H14="Hủy","Đã hủy",IF(H14&lt;&gt;"Hoàn thành","Chưa xong",IF(I14&gt;F14*0.5,"Vượt giờ nhiều",IF(I14&gt;0,"Vượt giờ nhẹ","Đúng hoặc dưới ước lượng")))))</f>
        <v/>
      </c>
    </row>
    <row r="15">
      <c r="A15" s="2" t="n"/>
      <c r="B15" s="3" t="n"/>
      <c r="C15" s="3" t="n"/>
      <c r="D15" s="3" t="n"/>
      <c r="E15" s="3" t="n"/>
      <c r="F15" s="2" t="n"/>
      <c r="G15" s="2" t="n"/>
      <c r="H15" s="3" t="n"/>
      <c r="I15" s="4">
        <f>IF(C15="","",G15-F15)</f>
        <v/>
      </c>
      <c r="J15" s="5">
        <f>IF(C15="","",IFERROR(F15/G15,0))</f>
        <v/>
      </c>
      <c r="K15" s="6">
        <f>IF(C15="","",IF(H15="Hủy","Đã hủy",IF(H15&lt;&gt;"Hoàn thành","Chưa xong",IF(I15&gt;F15*0.5,"Vượt giờ nhiều",IF(I15&gt;0,"Vượt giờ nhẹ","Đúng hoặc dưới ước lượng")))))</f>
        <v/>
      </c>
    </row>
    <row r="16">
      <c r="A16" s="2" t="n"/>
      <c r="B16" s="3" t="n"/>
      <c r="C16" s="3" t="n"/>
      <c r="D16" s="3" t="n"/>
      <c r="E16" s="3" t="n"/>
      <c r="F16" s="2" t="n"/>
      <c r="G16" s="2" t="n"/>
      <c r="H16" s="3" t="n"/>
      <c r="I16" s="4">
        <f>IF(C16="","",G16-F16)</f>
        <v/>
      </c>
      <c r="J16" s="5">
        <f>IF(C16="","",IFERROR(F16/G16,0))</f>
        <v/>
      </c>
      <c r="K16" s="6">
        <f>IF(C16="","",IF(H16="Hủy","Đã hủy",IF(H16&lt;&gt;"Hoàn thành","Chưa xong",IF(I16&gt;F16*0.5,"Vượt giờ nhiều",IF(I16&gt;0,"Vượt giờ nhẹ","Đúng hoặc dưới ước lượng")))))</f>
        <v/>
      </c>
    </row>
    <row r="17">
      <c r="A17" s="2" t="n"/>
      <c r="B17" s="3" t="n"/>
      <c r="C17" s="3" t="n"/>
      <c r="D17" s="3" t="n"/>
      <c r="E17" s="3" t="n"/>
      <c r="F17" s="2" t="n"/>
      <c r="G17" s="2" t="n"/>
      <c r="H17" s="3" t="n"/>
      <c r="I17" s="4">
        <f>IF(C17="","",G17-F17)</f>
        <v/>
      </c>
      <c r="J17" s="5">
        <f>IF(C17="","",IFERROR(F17/G17,0))</f>
        <v/>
      </c>
      <c r="K17" s="6">
        <f>IF(C17="","",IF(H17="Hủy","Đã hủy",IF(H17&lt;&gt;"Hoàn thành","Chưa xong",IF(I17&gt;F17*0.5,"Vượt giờ nhiều",IF(I17&gt;0,"Vượt giờ nhẹ","Đúng hoặc dưới ước lượng")))))</f>
        <v/>
      </c>
    </row>
    <row r="18">
      <c r="A18" s="2" t="n"/>
      <c r="B18" s="3" t="n"/>
      <c r="C18" s="3" t="n"/>
      <c r="D18" s="3" t="n"/>
      <c r="E18" s="3" t="n"/>
      <c r="F18" s="2" t="n"/>
      <c r="G18" s="2" t="n"/>
      <c r="H18" s="3" t="n"/>
      <c r="I18" s="4">
        <f>IF(C18="","",G18-F18)</f>
        <v/>
      </c>
      <c r="J18" s="5">
        <f>IF(C18="","",IFERROR(F18/G18,0))</f>
        <v/>
      </c>
      <c r="K18" s="6">
        <f>IF(C18="","",IF(H18="Hủy","Đã hủy",IF(H18&lt;&gt;"Hoàn thành","Chưa xong",IF(I18&gt;F18*0.5,"Vượt giờ nhiều",IF(I18&gt;0,"Vượt giờ nhẹ","Đúng hoặc dưới ước lượng")))))</f>
        <v/>
      </c>
    </row>
    <row r="19">
      <c r="A19" s="2" t="n"/>
      <c r="B19" s="3" t="n"/>
      <c r="C19" s="3" t="n"/>
      <c r="D19" s="3" t="n"/>
      <c r="E19" s="3" t="n"/>
      <c r="F19" s="2" t="n"/>
      <c r="G19" s="2" t="n"/>
      <c r="H19" s="3" t="n"/>
      <c r="I19" s="4">
        <f>IF(C19="","",G19-F19)</f>
        <v/>
      </c>
      <c r="J19" s="5">
        <f>IF(C19="","",IFERROR(F19/G19,0))</f>
        <v/>
      </c>
      <c r="K19" s="6">
        <f>IF(C19="","",IF(H19="Hủy","Đã hủy",IF(H19&lt;&gt;"Hoàn thành","Chưa xong",IF(I19&gt;F19*0.5,"Vượt giờ nhiều",IF(I19&gt;0,"Vượt giờ nhẹ","Đúng hoặc dưới ước lượng")))))</f>
        <v/>
      </c>
    </row>
    <row r="20">
      <c r="A20" s="2" t="n"/>
      <c r="B20" s="3" t="n"/>
      <c r="C20" s="3" t="n"/>
      <c r="D20" s="3" t="n"/>
      <c r="E20" s="3" t="n"/>
      <c r="F20" s="2" t="n"/>
      <c r="G20" s="2" t="n"/>
      <c r="H20" s="3" t="n"/>
      <c r="I20" s="4">
        <f>IF(C20="","",G20-F20)</f>
        <v/>
      </c>
      <c r="J20" s="5">
        <f>IF(C20="","",IFERROR(F20/G20,0))</f>
        <v/>
      </c>
      <c r="K20" s="6">
        <f>IF(C20="","",IF(H20="Hủy","Đã hủy",IF(H20&lt;&gt;"Hoàn thành","Chưa xong",IF(I20&gt;F20*0.5,"Vượt giờ nhiều",IF(I20&gt;0,"Vượt giờ nhẹ","Đúng hoặc dưới ước lượng")))))</f>
        <v/>
      </c>
    </row>
    <row r="21">
      <c r="A21" s="2" t="n"/>
      <c r="B21" s="3" t="n"/>
      <c r="C21" s="3" t="n"/>
      <c r="D21" s="3" t="n"/>
      <c r="E21" s="3" t="n"/>
      <c r="F21" s="2" t="n"/>
      <c r="G21" s="2" t="n"/>
      <c r="H21" s="3" t="n"/>
      <c r="I21" s="4">
        <f>IF(C21="","",G21-F21)</f>
        <v/>
      </c>
      <c r="J21" s="5">
        <f>IF(C21="","",IFERROR(F21/G21,0))</f>
        <v/>
      </c>
      <c r="K21" s="6">
        <f>IF(C21="","",IF(H21="Hủy","Đã hủy",IF(H21&lt;&gt;"Hoàn thành","Chưa xong",IF(I21&gt;F21*0.5,"Vượt giờ nhiều",IF(I21&gt;0,"Vượt giờ nhẹ","Đúng hoặc dưới ước lượng")))))</f>
        <v/>
      </c>
    </row>
    <row r="22">
      <c r="A22" s="2" t="n"/>
      <c r="B22" s="3" t="n"/>
      <c r="C22" s="3" t="n"/>
      <c r="D22" s="3" t="n"/>
      <c r="E22" s="3" t="n"/>
      <c r="F22" s="2" t="n"/>
      <c r="G22" s="2" t="n"/>
      <c r="H22" s="3" t="n"/>
      <c r="I22" s="4">
        <f>IF(C22="","",G22-F22)</f>
        <v/>
      </c>
      <c r="J22" s="5">
        <f>IF(C22="","",IFERROR(F22/G22,0))</f>
        <v/>
      </c>
      <c r="K22" s="6">
        <f>IF(C22="","",IF(H22="Hủy","Đã hủy",IF(H22&lt;&gt;"Hoàn thành","Chưa xong",IF(I22&gt;F22*0.5,"Vượt giờ nhiều",IF(I22&gt;0,"Vượt giờ nhẹ","Đúng hoặc dưới ước lượng")))))</f>
        <v/>
      </c>
    </row>
    <row r="23">
      <c r="A23" s="2" t="n"/>
      <c r="B23" s="3" t="n"/>
      <c r="C23" s="3" t="n"/>
      <c r="D23" s="3" t="n"/>
      <c r="E23" s="3" t="n"/>
      <c r="F23" s="2" t="n"/>
      <c r="G23" s="2" t="n"/>
      <c r="H23" s="3" t="n"/>
      <c r="I23" s="4">
        <f>IF(C23="","",G23-F23)</f>
        <v/>
      </c>
      <c r="J23" s="5">
        <f>IF(C23="","",IFERROR(F23/G23,0))</f>
        <v/>
      </c>
      <c r="K23" s="6">
        <f>IF(C23="","",IF(H23="Hủy","Đã hủy",IF(H23&lt;&gt;"Hoàn thành","Chưa xong",IF(I23&gt;F23*0.5,"Vượt giờ nhiều",IF(I23&gt;0,"Vượt giờ nhẹ","Đúng hoặc dưới ước lượng")))))</f>
        <v/>
      </c>
    </row>
    <row r="24">
      <c r="A24" s="2" t="n"/>
      <c r="B24" s="3" t="n"/>
      <c r="C24" s="3" t="n"/>
      <c r="D24" s="3" t="n"/>
      <c r="E24" s="3" t="n"/>
      <c r="F24" s="2" t="n"/>
      <c r="G24" s="2" t="n"/>
      <c r="H24" s="3" t="n"/>
      <c r="I24" s="4">
        <f>IF(C24="","",G24-F24)</f>
        <v/>
      </c>
      <c r="J24" s="5">
        <f>IF(C24="","",IFERROR(F24/G24,0))</f>
        <v/>
      </c>
      <c r="K24" s="6">
        <f>IF(C24="","",IF(H24="Hủy","Đã hủy",IF(H24&lt;&gt;"Hoàn thành","Chưa xong",IF(I24&gt;F24*0.5,"Vượt giờ nhiều",IF(I24&gt;0,"Vượt giờ nhẹ","Đúng hoặc dưới ước lượng")))))</f>
        <v/>
      </c>
    </row>
    <row r="25">
      <c r="A25" s="2" t="n"/>
      <c r="B25" s="3" t="n"/>
      <c r="C25" s="3" t="n"/>
      <c r="D25" s="3" t="n"/>
      <c r="E25" s="3" t="n"/>
      <c r="F25" s="2" t="n"/>
      <c r="G25" s="2" t="n"/>
      <c r="H25" s="3" t="n"/>
      <c r="I25" s="4">
        <f>IF(C25="","",G25-F25)</f>
        <v/>
      </c>
      <c r="J25" s="5">
        <f>IF(C25="","",IFERROR(F25/G25,0))</f>
        <v/>
      </c>
      <c r="K25" s="6">
        <f>IF(C25="","",IF(H25="Hủy","Đã hủy",IF(H25&lt;&gt;"Hoàn thành","Chưa xong",IF(I25&gt;F25*0.5,"Vượt giờ nhiều",IF(I25&gt;0,"Vượt giờ nhẹ","Đúng hoặc dưới ước lượng")))))</f>
        <v/>
      </c>
    </row>
    <row r="26">
      <c r="A26" s="2" t="n"/>
      <c r="B26" s="3" t="n"/>
      <c r="C26" s="3" t="n"/>
      <c r="D26" s="3" t="n"/>
      <c r="E26" s="3" t="n"/>
      <c r="F26" s="2" t="n"/>
      <c r="G26" s="2" t="n"/>
      <c r="H26" s="3" t="n"/>
      <c r="I26" s="4">
        <f>IF(C26="","",G26-F26)</f>
        <v/>
      </c>
      <c r="J26" s="5">
        <f>IF(C26="","",IFERROR(F26/G26,0))</f>
        <v/>
      </c>
      <c r="K26" s="6">
        <f>IF(C26="","",IF(H26="Hủy","Đã hủy",IF(H26&lt;&gt;"Hoàn thành","Chưa xong",IF(I26&gt;F26*0.5,"Vượt giờ nhiều",IF(I26&gt;0,"Vượt giờ nhẹ","Đúng hoặc dưới ước lượng")))))</f>
        <v/>
      </c>
    </row>
    <row r="27">
      <c r="A27" s="2" t="n"/>
      <c r="B27" s="3" t="n"/>
      <c r="C27" s="3" t="n"/>
      <c r="D27" s="3" t="n"/>
      <c r="E27" s="3" t="n"/>
      <c r="F27" s="2" t="n"/>
      <c r="G27" s="2" t="n"/>
      <c r="H27" s="3" t="n"/>
      <c r="I27" s="4">
        <f>IF(C27="","",G27-F27)</f>
        <v/>
      </c>
      <c r="J27" s="5">
        <f>IF(C27="","",IFERROR(F27/G27,0))</f>
        <v/>
      </c>
      <c r="K27" s="6">
        <f>IF(C27="","",IF(H27="Hủy","Đã hủy",IF(H27&lt;&gt;"Hoàn thành","Chưa xong",IF(I27&gt;F27*0.5,"Vượt giờ nhiều",IF(I27&gt;0,"Vượt giờ nhẹ","Đúng hoặc dưới ước lượng")))))</f>
        <v/>
      </c>
    </row>
    <row r="28">
      <c r="A28" s="2" t="n"/>
      <c r="B28" s="3" t="n"/>
      <c r="C28" s="3" t="n"/>
      <c r="D28" s="3" t="n"/>
      <c r="E28" s="3" t="n"/>
      <c r="F28" s="2" t="n"/>
      <c r="G28" s="2" t="n"/>
      <c r="H28" s="3" t="n"/>
      <c r="I28" s="4">
        <f>IF(C28="","",G28-F28)</f>
        <v/>
      </c>
      <c r="J28" s="5">
        <f>IF(C28="","",IFERROR(F28/G28,0))</f>
        <v/>
      </c>
      <c r="K28" s="6">
        <f>IF(C28="","",IF(H28="Hủy","Đã hủy",IF(H28&lt;&gt;"Hoàn thành","Chưa xong",IF(I28&gt;F28*0.5,"Vượt giờ nhiều",IF(I28&gt;0,"Vượt giờ nhẹ","Đúng hoặc dưới ước lượng")))))</f>
        <v/>
      </c>
    </row>
    <row r="29">
      <c r="A29" s="2" t="n"/>
      <c r="B29" s="3" t="n"/>
      <c r="C29" s="3" t="n"/>
      <c r="D29" s="3" t="n"/>
      <c r="E29" s="3" t="n"/>
      <c r="F29" s="2" t="n"/>
      <c r="G29" s="2" t="n"/>
      <c r="H29" s="3" t="n"/>
      <c r="I29" s="4">
        <f>IF(C29="","",G29-F29)</f>
        <v/>
      </c>
      <c r="J29" s="5">
        <f>IF(C29="","",IFERROR(F29/G29,0))</f>
        <v/>
      </c>
      <c r="K29" s="6">
        <f>IF(C29="","",IF(H29="Hủy","Đã hủy",IF(H29&lt;&gt;"Hoàn thành","Chưa xong",IF(I29&gt;F29*0.5,"Vượt giờ nhiều",IF(I29&gt;0,"Vượt giờ nhẹ","Đúng hoặc dưới ước lượng")))))</f>
        <v/>
      </c>
    </row>
    <row r="30">
      <c r="A30" s="2" t="n"/>
      <c r="B30" s="3" t="n"/>
      <c r="C30" s="3" t="n"/>
      <c r="D30" s="3" t="n"/>
      <c r="E30" s="3" t="n"/>
      <c r="F30" s="2" t="n"/>
      <c r="G30" s="2" t="n"/>
      <c r="H30" s="3" t="n"/>
      <c r="I30" s="4">
        <f>IF(C30="","",G30-F30)</f>
        <v/>
      </c>
      <c r="J30" s="5">
        <f>IF(C30="","",IFERROR(F30/G30,0))</f>
        <v/>
      </c>
      <c r="K30" s="6">
        <f>IF(C30="","",IF(H30="Hủy","Đã hủy",IF(H30&lt;&gt;"Hoàn thành","Chưa xong",IF(I30&gt;F30*0.5,"Vượt giờ nhiều",IF(I30&gt;0,"Vượt giờ nhẹ","Đúng hoặc dưới ước lượng")))))</f>
        <v/>
      </c>
    </row>
    <row r="31">
      <c r="A31" s="2" t="n"/>
      <c r="B31" s="3" t="n"/>
      <c r="C31" s="3" t="n"/>
      <c r="D31" s="3" t="n"/>
      <c r="E31" s="3" t="n"/>
      <c r="F31" s="2" t="n"/>
      <c r="G31" s="2" t="n"/>
      <c r="H31" s="3" t="n"/>
      <c r="I31" s="4">
        <f>IF(C31="","",G31-F31)</f>
        <v/>
      </c>
      <c r="J31" s="5">
        <f>IF(C31="","",IFERROR(F31/G31,0))</f>
        <v/>
      </c>
      <c r="K31" s="6">
        <f>IF(C31="","",IF(H31="Hủy","Đã hủy",IF(H31&lt;&gt;"Hoàn thành","Chưa xong",IF(I31&gt;F31*0.5,"Vượt giờ nhiều",IF(I31&gt;0,"Vượt giờ nhẹ","Đúng hoặc dưới ước lượng")))))</f>
        <v/>
      </c>
    </row>
    <row r="32">
      <c r="A32" s="2" t="n"/>
      <c r="B32" s="3" t="n"/>
      <c r="C32" s="3" t="n"/>
      <c r="D32" s="3" t="n"/>
      <c r="E32" s="3" t="n"/>
      <c r="F32" s="2" t="n"/>
      <c r="G32" s="2" t="n"/>
      <c r="H32" s="3" t="n"/>
      <c r="I32" s="4">
        <f>IF(C32="","",G32-F32)</f>
        <v/>
      </c>
      <c r="J32" s="5">
        <f>IF(C32="","",IFERROR(F32/G32,0))</f>
        <v/>
      </c>
      <c r="K32" s="6">
        <f>IF(C32="","",IF(H32="Hủy","Đã hủy",IF(H32&lt;&gt;"Hoàn thành","Chưa xong",IF(I32&gt;F32*0.5,"Vượt giờ nhiều",IF(I32&gt;0,"Vượt giờ nhẹ","Đúng hoặc dưới ước lượng")))))</f>
        <v/>
      </c>
    </row>
    <row r="33">
      <c r="A33" s="2" t="n"/>
      <c r="B33" s="3" t="n"/>
      <c r="C33" s="3" t="n"/>
      <c r="D33" s="3" t="n"/>
      <c r="E33" s="3" t="n"/>
      <c r="F33" s="2" t="n"/>
      <c r="G33" s="2" t="n"/>
      <c r="H33" s="3" t="n"/>
      <c r="I33" s="4">
        <f>IF(C33="","",G33-F33)</f>
        <v/>
      </c>
      <c r="J33" s="5">
        <f>IF(C33="","",IFERROR(F33/G33,0))</f>
        <v/>
      </c>
      <c r="K33" s="6">
        <f>IF(C33="","",IF(H33="Hủy","Đã hủy",IF(H33&lt;&gt;"Hoàn thành","Chưa xong",IF(I33&gt;F33*0.5,"Vượt giờ nhiều",IF(I33&gt;0,"Vượt giờ nhẹ","Đúng hoặc dưới ước lượng")))))</f>
        <v/>
      </c>
    </row>
  </sheetData>
  <autoFilter ref="A1:K33"/>
  <dataValidations count="4">
    <dataValidation sqref="B2:B33" showDropDown="0" showInputMessage="0" showErrorMessage="0" allowBlank="1" errorTitle="Sai định dạng" error="Giá trị không hợp lệ cho cột này." type="list">
      <formula1>"Thứ hai,Thứ ba,Thứ tư,Thứ năm,Thứ sáu,Thứ bảy,Chủ nhật"</formula1>
    </dataValidation>
    <dataValidation sqref="F2:F33" showDropDown="0" showInputMessage="0" showErrorMessage="0" allowBlank="1" errorTitle="Sai định dạng" error="Giá trị không hợp lệ cho cột này." type="decimal" operator="between">
      <formula1>0</formula1>
      <formula2>40</formula2>
    </dataValidation>
    <dataValidation sqref="G2:G33" showDropDown="0" showInputMessage="0" showErrorMessage="0" allowBlank="1" errorTitle="Sai định dạng" error="Giá trị không hợp lệ cho cột này." type="decimal" operator="between">
      <formula1>0</formula1>
      <formula2>40</formula2>
    </dataValidation>
    <dataValidation sqref="H2:H33" showDropDown="0" showInputMessage="0" showErrorMessage="0" allowBlank="1" errorTitle="Sai định dạng" error="Giá trị không hợp lệ cho cột này." type="list">
      <formula1>"Chưa làm,Đang làm,Hoàn thành,Hủy"</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B22"/>
  <sheetViews>
    <sheetView workbookViewId="0">
      <selection activeCell="A1" sqref="A1"/>
    </sheetView>
  </sheetViews>
  <sheetFormatPr baseColWidth="8" defaultRowHeight="15"/>
  <cols>
    <col width="4" customWidth="1" min="1" max="1"/>
    <col width="100" customWidth="1" min="2" max="2"/>
  </cols>
  <sheetData>
    <row r="1">
      <c r="B1" s="7" t="inlineStr">
        <is>
          <t>Mẫu Excel kế hoạch công việc tuần (có đối chiếu giờ ước lượng)</t>
        </is>
      </c>
    </row>
    <row r="2">
      <c r="B2" s="8" t="inlineStr"/>
    </row>
    <row r="3">
      <c r="B3" s="9" t="inlineStr">
        <is>
          <t>CÁCH DÙNG</t>
        </is>
      </c>
    </row>
    <row r="4">
      <c r="B4" s="10" t="inlineStr">
        <is>
          <t>1. Lập kế hoạch vào đầu tuần</t>
        </is>
      </c>
    </row>
    <row r="5">
      <c r="B5" s="8" t="inlineStr">
        <is>
          <t xml:space="preserve">   Liệt kê việc của cả tuần, gán mỗi việc vào một ngày cụ thể và ghi kết quả mong đợi. Việc không gắn được vào ngày nào là việc chưa đủ rõ để làm trong tuần này, nên để lại danh sách chờ.</t>
        </is>
      </c>
    </row>
    <row r="6">
      <c r="B6" s="10" t="inlineStr">
        <is>
          <t>2. Ghi giờ ước lượng ngay lúc lập kế hoạch</t>
        </is>
      </c>
    </row>
    <row r="7">
      <c r="B7" s="8" t="inlineStr">
        <is>
          <t xml:space="preserve">   Ước lượng phải viết trước khi bắt tay làm, nếu không nó chỉ là ghi lại giờ thực tế và mất hết giá trị đối chiếu. Cộng nhanh giờ ước lượng của từng ngày để xem ngày đó có quá tải không, bốn tới sáu giờ việc tập trung là mức thực tế với hầu hết mọi người.</t>
        </is>
      </c>
    </row>
    <row r="8">
      <c r="B8" s="10" t="inlineStr">
        <is>
          <t>3. Cập nhật trạng thái và giờ thực tế mỗi cuối ngày</t>
        </is>
      </c>
    </row>
    <row r="9">
      <c r="B9" s="8" t="inlineStr">
        <is>
          <t xml:space="preserve">   Chọn trạng thái từ danh sách và điền số giờ đã bỏ ra. Việc không làm nữa thì chọn Hủy chứ đừng xóa dòng — dòng bị hủy vẫn là dữ liệu cho biết kế hoạch tuần này sai ở đâu.</t>
        </is>
      </c>
    </row>
    <row r="10">
      <c r="B10" s="10" t="inlineStr">
        <is>
          <t>4. Nhìn lại vào cuối tuần</t>
        </is>
      </c>
    </row>
    <row r="11">
      <c r="B11" s="8" t="inlineStr">
        <is>
          <t xml:space="preserve">   Đọc cột tỷ lệ ước lượng chính xác của những dòng đã xong. Liên tục dưới 100% nghĩa là bạn thường xuyên ước lượng thiếu, và cách sửa không phải cố làm nhanh hơn mà là nhân ước lượng của tuần sau lên cho khớp thực tế.</t>
        </is>
      </c>
    </row>
    <row r="12">
      <c r="B12" s="8" t="inlineStr"/>
    </row>
    <row r="13">
      <c r="B13" s="9" t="inlineStr">
        <is>
          <t>CÔNG THỨC TRONG FILE</t>
        </is>
      </c>
    </row>
    <row r="14">
      <c r="B14" s="10" t="inlineStr">
        <is>
          <t>Chênh lệch giờ  —  =IF(C2="","",G2-F2)</t>
        </is>
      </c>
    </row>
    <row r="15">
      <c r="B15" s="8" t="inlineStr">
        <is>
          <t xml:space="preserve">   Giờ thực tế trừ giờ ước lượng. Số dương là làm lâu hơn dự kiến — trường hợp phổ biến hơn nhiều so với chiều ngược lại, và cộng cả cột lại là số giờ tuần này bạn đã ước lượng thiếu.</t>
        </is>
      </c>
    </row>
    <row r="16">
      <c r="B16" s="10" t="inlineStr">
        <is>
          <t>Ước lượng chính xác  —  =IF(C2="","",IFERROR(F2/G2,0))</t>
        </is>
      </c>
    </row>
    <row r="17">
      <c r="B17" s="8" t="inlineStr">
        <is>
          <t xml:space="preserve">   Ước lượng chia thực tế. Dưới 100% là ước lượng thiếu. Bọc IFERROR vì việc chưa làm có giờ thực tế bằng 0, và chia cho 0 sẽ ném #DIV/0! làm hỏng cả cột.</t>
        </is>
      </c>
    </row>
    <row r="18">
      <c r="B18" s="10" t="inlineStr">
        <is>
          <t>Đánh giá  —  =IF(C2="","",IF(H2="Hủy","Đã hủy",IF(H2&lt;&gt;"Hoàn thành","Chưa xong",IF(I2&gt;F2*0.5,"Vượt giờ nhiều",IF(I2&gt;0,"Vượt giờ nhẹ","Đúng hoặc dưới ước lượng")))))</t>
        </is>
      </c>
    </row>
    <row r="19">
      <c r="B19" s="8" t="inlineStr">
        <is>
          <t xml:space="preserve">   Chỉ chấm điểm ước lượng cho việc đã hoàn thành, vì việc đang làm dở luôn có giờ thực tế nhỏ hơn và sẽ bị khen nhầm. Ngưỡng vượt giờ nhiều đặt theo tỷ lệ chứ không theo số giờ tuyệt đối, để một việc ước lượng nửa giờ mà làm hai giờ cũng bị bắt như việc ước lượng tám giờ làm hai mươi.</t>
        </is>
      </c>
    </row>
    <row r="20">
      <c r="B20" s="8" t="inlineStr"/>
    </row>
    <row r="21">
      <c r="B21" s="10" t="inlineStr">
        <is>
          <t>Bản cập nhật mới nhất và hướng dẫn chi tiết:</t>
        </is>
      </c>
    </row>
    <row r="22">
      <c r="B22" s="11" t="inlineStr">
        <is>
          <t>https://excel.nguyenvietloc.com/mau-excel/quan-ly-cong-viec/ke-hoach-cong-viec-tuan</t>
        </is>
      </c>
    </row>
  </sheetData>
  <hyperlinks>
    <hyperlink xmlns:r="http://schemas.openxmlformats.org/officeDocument/2006/relationships" ref="B2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2026-08-10T14:33:15Z</dcterms:created>
  <dcterms:modified xsi:type="dcterms:W3CDTF">2026-08-10T14:33:15Z</dcterms:modified>
</cp:coreProperties>
</file>