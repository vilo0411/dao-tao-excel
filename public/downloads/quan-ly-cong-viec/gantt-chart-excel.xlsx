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ntt" sheetId="1" state="visible" r:id="rId1"/>
    <sheet name="Hướng dẫn" sheetId="2" state="visible" r:id="rId2"/>
  </sheets>
  <definedNames>
    <definedName name="_xlnm._FilterDatabase" localSheetId="0" hidden="1">'Gantt'!$A$1:$M$32</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6" fontId="0" fillId="0" borderId="1" pivotButton="0" quotePrefix="0" xfId="0"/>
    <xf numFmtId="166" fontId="0" fillId="3" borderId="1" pivotButton="0" quotePrefix="0" xfId="0"/>
    <xf numFmtId="164"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quan-ly-cong-viec/gantt-chart-excel" TargetMode="External" Id="rId1" /></Relationships>
</file>

<file path=xl/worksheets/sheet1.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32" customWidth="1" min="3" max="3"/>
    <col width="18" customWidth="1" min="4" max="4"/>
    <col width="13" customWidth="1" min="5" max="5"/>
    <col width="12" customWidth="1" min="6" max="6"/>
    <col width="13" customWidth="1" min="7" max="7"/>
    <col width="13" customWidth="1" min="8" max="8"/>
    <col width="12" customWidth="1" min="9" max="9"/>
    <col width="13" customWidth="1" min="10" max="10"/>
    <col width="13" customWidth="1" min="11" max="11"/>
    <col width="46" customWidth="1" min="12" max="12"/>
    <col width="24" customWidth="1" min="13" max="13"/>
  </cols>
  <sheetData>
    <row r="1" ht="32" customHeight="1">
      <c r="A1" s="1" t="inlineStr">
        <is>
          <t>STT</t>
        </is>
      </c>
      <c r="B1" s="1" t="inlineStr">
        <is>
          <t>Mã việc</t>
        </is>
      </c>
      <c r="C1" s="1" t="inlineStr">
        <is>
          <t>Tên công việc</t>
        </is>
      </c>
      <c r="D1" s="1" t="inlineStr">
        <is>
          <t>Người phụ trách</t>
        </is>
      </c>
      <c r="E1" s="1" t="inlineStr">
        <is>
          <t>Mốc gốc sơ đồ</t>
        </is>
      </c>
      <c r="F1" s="1" t="inlineStr">
        <is>
          <t>Ngày bắt đầu</t>
        </is>
      </c>
      <c r="G1" s="1" t="inlineStr">
        <is>
          <t>Số ngày thực hiện</t>
        </is>
      </c>
      <c r="H1" s="1" t="inlineStr">
        <is>
          <t>Hoàn thành (%)</t>
        </is>
      </c>
      <c r="I1" s="1" t="inlineStr">
        <is>
          <t>Ngày chốt sổ</t>
        </is>
      </c>
      <c r="J1" s="1" t="inlineStr">
        <is>
          <t>Ngày kết thúc</t>
        </is>
      </c>
      <c r="K1" s="1" t="inlineStr">
        <is>
          <t>Số ngày còn lại</t>
        </is>
      </c>
      <c r="L1" s="1" t="inlineStr">
        <is>
          <t>Sơ đồ</t>
        </is>
      </c>
      <c r="M1" s="1" t="inlineStr">
        <is>
          <t>Trạng thái</t>
        </is>
      </c>
    </row>
    <row r="2">
      <c r="A2" s="2" t="n">
        <v>1</v>
      </c>
      <c r="B2" s="3" t="inlineStr">
        <is>
          <t>G01</t>
        </is>
      </c>
      <c r="C2" s="3" t="inlineStr">
        <is>
          <t>Khảo sát yêu cầu và chốt phạm vi</t>
        </is>
      </c>
      <c r="D2" s="3" t="inlineStr">
        <is>
          <t>Nguyễn Văn Minh</t>
        </is>
      </c>
      <c r="E2" s="4" t="n">
        <v>46204</v>
      </c>
      <c r="F2" s="4" t="n">
        <v>46204</v>
      </c>
      <c r="G2" s="2" t="n">
        <v>7</v>
      </c>
      <c r="H2" s="2" t="n">
        <v>100</v>
      </c>
      <c r="I2" s="4" t="n">
        <v>46227</v>
      </c>
      <c r="J2" s="5">
        <f>IF(C2="","",F2+G2-1)</f>
        <v/>
      </c>
      <c r="K2" s="6">
        <f>IF(C2="","",J2-I2)</f>
        <v/>
      </c>
      <c r="L2" s="7">
        <f>IF(C2="","",REPT("·",MAX(0,F2-E2))&amp;REPT("█",G2))</f>
        <v/>
      </c>
      <c r="M2" s="7">
        <f>IF(C2="","",IF(H2&gt;=100,"Hoàn thành",IF(K2&lt;0,"Trễ hạn",IF(F2&gt;I2,"Chưa tới lượt","Đang chạy"))))</f>
        <v/>
      </c>
    </row>
    <row r="3">
      <c r="A3" s="2" t="n">
        <v>2</v>
      </c>
      <c r="B3" s="3" t="inlineStr">
        <is>
          <t>G02</t>
        </is>
      </c>
      <c r="C3" s="3" t="inlineStr">
        <is>
          <t>Thiết kế giải pháp và duyệt bản vẽ</t>
        </is>
      </c>
      <c r="D3" s="3" t="inlineStr">
        <is>
          <t>Phạm Thị Lan</t>
        </is>
      </c>
      <c r="E3" s="4" t="n">
        <v>46204</v>
      </c>
      <c r="F3" s="4" t="n">
        <v>46211</v>
      </c>
      <c r="G3" s="2" t="n">
        <v>10</v>
      </c>
      <c r="H3" s="2" t="n">
        <v>100</v>
      </c>
      <c r="I3" s="4" t="n">
        <v>46227</v>
      </c>
      <c r="J3" s="5">
        <f>IF(C3="","",F3+G3-1)</f>
        <v/>
      </c>
      <c r="K3" s="6">
        <f>IF(C3="","",J3-I3)</f>
        <v/>
      </c>
      <c r="L3" s="7">
        <f>IF(C3="","",REPT("·",MAX(0,F3-E3))&amp;REPT("█",G3))</f>
        <v/>
      </c>
      <c r="M3" s="7">
        <f>IF(C3="","",IF(H3&gt;=100,"Hoàn thành",IF(K3&lt;0,"Trễ hạn",IF(F3&gt;I3,"Chưa tới lượt","Đang chạy"))))</f>
        <v/>
      </c>
    </row>
    <row r="4">
      <c r="A4" s="2" t="n">
        <v>3</v>
      </c>
      <c r="B4" s="3" t="inlineStr">
        <is>
          <t>G03</t>
        </is>
      </c>
      <c r="C4" s="3" t="inlineStr">
        <is>
          <t>Đặt mua vật tư và theo dõi giao hàng</t>
        </is>
      </c>
      <c r="D4" s="3" t="inlineStr">
        <is>
          <t>Đỗ Hoàng Nam</t>
        </is>
      </c>
      <c r="E4" s="4" t="n">
        <v>46204</v>
      </c>
      <c r="F4" s="4" t="n">
        <v>46218</v>
      </c>
      <c r="G4" s="2" t="n">
        <v>8</v>
      </c>
      <c r="H4" s="2" t="n">
        <v>60</v>
      </c>
      <c r="I4" s="4" t="n">
        <v>46227</v>
      </c>
      <c r="J4" s="5">
        <f>IF(C4="","",F4+G4-1)</f>
        <v/>
      </c>
      <c r="K4" s="6">
        <f>IF(C4="","",J4-I4)</f>
        <v/>
      </c>
      <c r="L4" s="7">
        <f>IF(C4="","",REPT("·",MAX(0,F4-E4))&amp;REPT("█",G4))</f>
        <v/>
      </c>
      <c r="M4" s="7">
        <f>IF(C4="","",IF(H4&gt;=100,"Hoàn thành",IF(K4&lt;0,"Trễ hạn",IF(F4&gt;I4,"Chưa tới lượt","Đang chạy"))))</f>
        <v/>
      </c>
    </row>
    <row r="5">
      <c r="A5" s="2" t="n">
        <v>4</v>
      </c>
      <c r="B5" s="3" t="inlineStr">
        <is>
          <t>G04</t>
        </is>
      </c>
      <c r="C5" s="3" t="inlineStr">
        <is>
          <t>Thi công lắp đặt tại hiện trường</t>
        </is>
      </c>
      <c r="D5" s="3" t="inlineStr">
        <is>
          <t>Phạm Thị Lan</t>
        </is>
      </c>
      <c r="E5" s="4" t="n">
        <v>46204</v>
      </c>
      <c r="F5" s="4" t="n">
        <v>46223</v>
      </c>
      <c r="G5" s="2" t="n">
        <v>14</v>
      </c>
      <c r="H5" s="2" t="n">
        <v>25</v>
      </c>
      <c r="I5" s="4" t="n">
        <v>46227</v>
      </c>
      <c r="J5" s="5">
        <f>IF(C5="","",F5+G5-1)</f>
        <v/>
      </c>
      <c r="K5" s="6">
        <f>IF(C5="","",J5-I5)</f>
        <v/>
      </c>
      <c r="L5" s="7">
        <f>IF(C5="","",REPT("·",MAX(0,F5-E5))&amp;REPT("█",G5))</f>
        <v/>
      </c>
      <c r="M5" s="7">
        <f>IF(C5="","",IF(H5&gt;=100,"Hoàn thành",IF(K5&lt;0,"Trễ hạn",IF(F5&gt;I5,"Chưa tới lượt","Đang chạy"))))</f>
        <v/>
      </c>
    </row>
    <row r="6">
      <c r="A6" s="2" t="n">
        <v>5</v>
      </c>
      <c r="B6" s="3" t="inlineStr">
        <is>
          <t>G05</t>
        </is>
      </c>
      <c r="C6" s="3" t="inlineStr">
        <is>
          <t>Chạy thử và hiệu chỉnh thông số</t>
        </is>
      </c>
      <c r="D6" s="3" t="inlineStr">
        <is>
          <t>Trần Thu Hà</t>
        </is>
      </c>
      <c r="E6" s="4" t="n">
        <v>46204</v>
      </c>
      <c r="F6" s="4" t="n">
        <v>46237</v>
      </c>
      <c r="G6" s="2" t="n">
        <v>6</v>
      </c>
      <c r="H6" s="2" t="n">
        <v>0</v>
      </c>
      <c r="I6" s="4" t="n">
        <v>46227</v>
      </c>
      <c r="J6" s="5">
        <f>IF(C6="","",F6+G6-1)</f>
        <v/>
      </c>
      <c r="K6" s="6">
        <f>IF(C6="","",J6-I6)</f>
        <v/>
      </c>
      <c r="L6" s="7">
        <f>IF(C6="","",REPT("·",MAX(0,F6-E6))&amp;REPT("█",G6))</f>
        <v/>
      </c>
      <c r="M6" s="7">
        <f>IF(C6="","",IF(H6&gt;=100,"Hoàn thành",IF(K6&lt;0,"Trễ hạn",IF(F6&gt;I6,"Chưa tới lượt","Đang chạy"))))</f>
        <v/>
      </c>
    </row>
    <row r="7">
      <c r="A7" s="2" t="n">
        <v>6</v>
      </c>
      <c r="B7" s="3" t="inlineStr">
        <is>
          <t>G06</t>
        </is>
      </c>
      <c r="C7" s="3" t="inlineStr">
        <is>
          <t>Nghiệm thu và bàn giao cho khách hàng</t>
        </is>
      </c>
      <c r="D7" s="3" t="inlineStr">
        <is>
          <t>Nguyễn Văn Minh</t>
        </is>
      </c>
      <c r="E7" s="4" t="n">
        <v>46204</v>
      </c>
      <c r="F7" s="4" t="n">
        <v>46244</v>
      </c>
      <c r="G7" s="2" t="n">
        <v>4</v>
      </c>
      <c r="H7" s="2" t="n">
        <v>0</v>
      </c>
      <c r="I7" s="4" t="n">
        <v>46227</v>
      </c>
      <c r="J7" s="5">
        <f>IF(C7="","",F7+G7-1)</f>
        <v/>
      </c>
      <c r="K7" s="6">
        <f>IF(C7="","",J7-I7)</f>
        <v/>
      </c>
      <c r="L7" s="7">
        <f>IF(C7="","",REPT("·",MAX(0,F7-E7))&amp;REPT("█",G7))</f>
        <v/>
      </c>
      <c r="M7" s="7">
        <f>IF(C7="","",IF(H7&gt;=100,"Hoàn thành",IF(K7&lt;0,"Trễ hạn",IF(F7&gt;I7,"Chưa tới lượt","Đang chạy"))))</f>
        <v/>
      </c>
    </row>
    <row r="8">
      <c r="A8" s="2" t="n"/>
      <c r="B8" s="3" t="n"/>
      <c r="C8" s="3" t="n"/>
      <c r="D8" s="3" t="n"/>
      <c r="E8" s="4" t="n"/>
      <c r="F8" s="4" t="n"/>
      <c r="G8" s="2" t="n"/>
      <c r="H8" s="2" t="n"/>
      <c r="I8" s="4" t="n"/>
      <c r="J8" s="5">
        <f>IF(C8="","",F8+G8-1)</f>
        <v/>
      </c>
      <c r="K8" s="6">
        <f>IF(C8="","",J8-I8)</f>
        <v/>
      </c>
      <c r="L8" s="7">
        <f>IF(C8="","",REPT("·",MAX(0,F8-E8))&amp;REPT("█",G8))</f>
        <v/>
      </c>
      <c r="M8" s="7">
        <f>IF(C8="","",IF(H8&gt;=100,"Hoàn thành",IF(K8&lt;0,"Trễ hạn",IF(F8&gt;I8,"Chưa tới lượt","Đang chạy"))))</f>
        <v/>
      </c>
    </row>
    <row r="9">
      <c r="A9" s="2" t="n"/>
      <c r="B9" s="3" t="n"/>
      <c r="C9" s="3" t="n"/>
      <c r="D9" s="3" t="n"/>
      <c r="E9" s="4" t="n"/>
      <c r="F9" s="4" t="n"/>
      <c r="G9" s="2" t="n"/>
      <c r="H9" s="2" t="n"/>
      <c r="I9" s="4" t="n"/>
      <c r="J9" s="5">
        <f>IF(C9="","",F9+G9-1)</f>
        <v/>
      </c>
      <c r="K9" s="6">
        <f>IF(C9="","",J9-I9)</f>
        <v/>
      </c>
      <c r="L9" s="7">
        <f>IF(C9="","",REPT("·",MAX(0,F9-E9))&amp;REPT("█",G9))</f>
        <v/>
      </c>
      <c r="M9" s="7">
        <f>IF(C9="","",IF(H9&gt;=100,"Hoàn thành",IF(K9&lt;0,"Trễ hạn",IF(F9&gt;I9,"Chưa tới lượt","Đang chạy"))))</f>
        <v/>
      </c>
    </row>
    <row r="10">
      <c r="A10" s="2" t="n"/>
      <c r="B10" s="3" t="n"/>
      <c r="C10" s="3" t="n"/>
      <c r="D10" s="3" t="n"/>
      <c r="E10" s="4" t="n"/>
      <c r="F10" s="4" t="n"/>
      <c r="G10" s="2" t="n"/>
      <c r="H10" s="2" t="n"/>
      <c r="I10" s="4" t="n"/>
      <c r="J10" s="5">
        <f>IF(C10="","",F10+G10-1)</f>
        <v/>
      </c>
      <c r="K10" s="6">
        <f>IF(C10="","",J10-I10)</f>
        <v/>
      </c>
      <c r="L10" s="7">
        <f>IF(C10="","",REPT("·",MAX(0,F10-E10))&amp;REPT("█",G10))</f>
        <v/>
      </c>
      <c r="M10" s="7">
        <f>IF(C10="","",IF(H10&gt;=100,"Hoàn thành",IF(K10&lt;0,"Trễ hạn",IF(F10&gt;I10,"Chưa tới lượt","Đang chạy"))))</f>
        <v/>
      </c>
    </row>
    <row r="11">
      <c r="A11" s="2" t="n"/>
      <c r="B11" s="3" t="n"/>
      <c r="C11" s="3" t="n"/>
      <c r="D11" s="3" t="n"/>
      <c r="E11" s="4" t="n"/>
      <c r="F11" s="4" t="n"/>
      <c r="G11" s="2" t="n"/>
      <c r="H11" s="2" t="n"/>
      <c r="I11" s="4" t="n"/>
      <c r="J11" s="5">
        <f>IF(C11="","",F11+G11-1)</f>
        <v/>
      </c>
      <c r="K11" s="6">
        <f>IF(C11="","",J11-I11)</f>
        <v/>
      </c>
      <c r="L11" s="7">
        <f>IF(C11="","",REPT("·",MAX(0,F11-E11))&amp;REPT("█",G11))</f>
        <v/>
      </c>
      <c r="M11" s="7">
        <f>IF(C11="","",IF(H11&gt;=100,"Hoàn thành",IF(K11&lt;0,"Trễ hạn",IF(F11&gt;I11,"Chưa tới lượt","Đang chạy"))))</f>
        <v/>
      </c>
    </row>
    <row r="12">
      <c r="A12" s="2" t="n"/>
      <c r="B12" s="3" t="n"/>
      <c r="C12" s="3" t="n"/>
      <c r="D12" s="3" t="n"/>
      <c r="E12" s="4" t="n"/>
      <c r="F12" s="4" t="n"/>
      <c r="G12" s="2" t="n"/>
      <c r="H12" s="2" t="n"/>
      <c r="I12" s="4" t="n"/>
      <c r="J12" s="5">
        <f>IF(C12="","",F12+G12-1)</f>
        <v/>
      </c>
      <c r="K12" s="6">
        <f>IF(C12="","",J12-I12)</f>
        <v/>
      </c>
      <c r="L12" s="7">
        <f>IF(C12="","",REPT("·",MAX(0,F12-E12))&amp;REPT("█",G12))</f>
        <v/>
      </c>
      <c r="M12" s="7">
        <f>IF(C12="","",IF(H12&gt;=100,"Hoàn thành",IF(K12&lt;0,"Trễ hạn",IF(F12&gt;I12,"Chưa tới lượt","Đang chạy"))))</f>
        <v/>
      </c>
    </row>
    <row r="13">
      <c r="A13" s="2" t="n"/>
      <c r="B13" s="3" t="n"/>
      <c r="C13" s="3" t="n"/>
      <c r="D13" s="3" t="n"/>
      <c r="E13" s="4" t="n"/>
      <c r="F13" s="4" t="n"/>
      <c r="G13" s="2" t="n"/>
      <c r="H13" s="2" t="n"/>
      <c r="I13" s="4" t="n"/>
      <c r="J13" s="5">
        <f>IF(C13="","",F13+G13-1)</f>
        <v/>
      </c>
      <c r="K13" s="6">
        <f>IF(C13="","",J13-I13)</f>
        <v/>
      </c>
      <c r="L13" s="7">
        <f>IF(C13="","",REPT("·",MAX(0,F13-E13))&amp;REPT("█",G13))</f>
        <v/>
      </c>
      <c r="M13" s="7">
        <f>IF(C13="","",IF(H13&gt;=100,"Hoàn thành",IF(K13&lt;0,"Trễ hạn",IF(F13&gt;I13,"Chưa tới lượt","Đang chạy"))))</f>
        <v/>
      </c>
    </row>
    <row r="14">
      <c r="A14" s="2" t="n"/>
      <c r="B14" s="3" t="n"/>
      <c r="C14" s="3" t="n"/>
      <c r="D14" s="3" t="n"/>
      <c r="E14" s="4" t="n"/>
      <c r="F14" s="4" t="n"/>
      <c r="G14" s="2" t="n"/>
      <c r="H14" s="2" t="n"/>
      <c r="I14" s="4" t="n"/>
      <c r="J14" s="5">
        <f>IF(C14="","",F14+G14-1)</f>
        <v/>
      </c>
      <c r="K14" s="6">
        <f>IF(C14="","",J14-I14)</f>
        <v/>
      </c>
      <c r="L14" s="7">
        <f>IF(C14="","",REPT("·",MAX(0,F14-E14))&amp;REPT("█",G14))</f>
        <v/>
      </c>
      <c r="M14" s="7">
        <f>IF(C14="","",IF(H14&gt;=100,"Hoàn thành",IF(K14&lt;0,"Trễ hạn",IF(F14&gt;I14,"Chưa tới lượt","Đang chạy"))))</f>
        <v/>
      </c>
    </row>
    <row r="15">
      <c r="A15" s="2" t="n"/>
      <c r="B15" s="3" t="n"/>
      <c r="C15" s="3" t="n"/>
      <c r="D15" s="3" t="n"/>
      <c r="E15" s="4" t="n"/>
      <c r="F15" s="4" t="n"/>
      <c r="G15" s="2" t="n"/>
      <c r="H15" s="2" t="n"/>
      <c r="I15" s="4" t="n"/>
      <c r="J15" s="5">
        <f>IF(C15="","",F15+G15-1)</f>
        <v/>
      </c>
      <c r="K15" s="6">
        <f>IF(C15="","",J15-I15)</f>
        <v/>
      </c>
      <c r="L15" s="7">
        <f>IF(C15="","",REPT("·",MAX(0,F15-E15))&amp;REPT("█",G15))</f>
        <v/>
      </c>
      <c r="M15" s="7">
        <f>IF(C15="","",IF(H15&gt;=100,"Hoàn thành",IF(K15&lt;0,"Trễ hạn",IF(F15&gt;I15,"Chưa tới lượt","Đang chạy"))))</f>
        <v/>
      </c>
    </row>
    <row r="16">
      <c r="A16" s="2" t="n"/>
      <c r="B16" s="3" t="n"/>
      <c r="C16" s="3" t="n"/>
      <c r="D16" s="3" t="n"/>
      <c r="E16" s="4" t="n"/>
      <c r="F16" s="4" t="n"/>
      <c r="G16" s="2" t="n"/>
      <c r="H16" s="2" t="n"/>
      <c r="I16" s="4" t="n"/>
      <c r="J16" s="5">
        <f>IF(C16="","",F16+G16-1)</f>
        <v/>
      </c>
      <c r="K16" s="6">
        <f>IF(C16="","",J16-I16)</f>
        <v/>
      </c>
      <c r="L16" s="7">
        <f>IF(C16="","",REPT("·",MAX(0,F16-E16))&amp;REPT("█",G16))</f>
        <v/>
      </c>
      <c r="M16" s="7">
        <f>IF(C16="","",IF(H16&gt;=100,"Hoàn thành",IF(K16&lt;0,"Trễ hạn",IF(F16&gt;I16,"Chưa tới lượt","Đang chạy"))))</f>
        <v/>
      </c>
    </row>
    <row r="17">
      <c r="A17" s="2" t="n"/>
      <c r="B17" s="3" t="n"/>
      <c r="C17" s="3" t="n"/>
      <c r="D17" s="3" t="n"/>
      <c r="E17" s="4" t="n"/>
      <c r="F17" s="4" t="n"/>
      <c r="G17" s="2" t="n"/>
      <c r="H17" s="2" t="n"/>
      <c r="I17" s="4" t="n"/>
      <c r="J17" s="5">
        <f>IF(C17="","",F17+G17-1)</f>
        <v/>
      </c>
      <c r="K17" s="6">
        <f>IF(C17="","",J17-I17)</f>
        <v/>
      </c>
      <c r="L17" s="7">
        <f>IF(C17="","",REPT("·",MAX(0,F17-E17))&amp;REPT("█",G17))</f>
        <v/>
      </c>
      <c r="M17" s="7">
        <f>IF(C17="","",IF(H17&gt;=100,"Hoàn thành",IF(K17&lt;0,"Trễ hạn",IF(F17&gt;I17,"Chưa tới lượt","Đang chạy"))))</f>
        <v/>
      </c>
    </row>
    <row r="18">
      <c r="A18" s="2" t="n"/>
      <c r="B18" s="3" t="n"/>
      <c r="C18" s="3" t="n"/>
      <c r="D18" s="3" t="n"/>
      <c r="E18" s="4" t="n"/>
      <c r="F18" s="4" t="n"/>
      <c r="G18" s="2" t="n"/>
      <c r="H18" s="2" t="n"/>
      <c r="I18" s="4" t="n"/>
      <c r="J18" s="5">
        <f>IF(C18="","",F18+G18-1)</f>
        <v/>
      </c>
      <c r="K18" s="6">
        <f>IF(C18="","",J18-I18)</f>
        <v/>
      </c>
      <c r="L18" s="7">
        <f>IF(C18="","",REPT("·",MAX(0,F18-E18))&amp;REPT("█",G18))</f>
        <v/>
      </c>
      <c r="M18" s="7">
        <f>IF(C18="","",IF(H18&gt;=100,"Hoàn thành",IF(K18&lt;0,"Trễ hạn",IF(F18&gt;I18,"Chưa tới lượt","Đang chạy"))))</f>
        <v/>
      </c>
    </row>
    <row r="19">
      <c r="A19" s="2" t="n"/>
      <c r="B19" s="3" t="n"/>
      <c r="C19" s="3" t="n"/>
      <c r="D19" s="3" t="n"/>
      <c r="E19" s="4" t="n"/>
      <c r="F19" s="4" t="n"/>
      <c r="G19" s="2" t="n"/>
      <c r="H19" s="2" t="n"/>
      <c r="I19" s="4" t="n"/>
      <c r="J19" s="5">
        <f>IF(C19="","",F19+G19-1)</f>
        <v/>
      </c>
      <c r="K19" s="6">
        <f>IF(C19="","",J19-I19)</f>
        <v/>
      </c>
      <c r="L19" s="7">
        <f>IF(C19="","",REPT("·",MAX(0,F19-E19))&amp;REPT("█",G19))</f>
        <v/>
      </c>
      <c r="M19" s="7">
        <f>IF(C19="","",IF(H19&gt;=100,"Hoàn thành",IF(K19&lt;0,"Trễ hạn",IF(F19&gt;I19,"Chưa tới lượt","Đang chạy"))))</f>
        <v/>
      </c>
    </row>
    <row r="20">
      <c r="A20" s="2" t="n"/>
      <c r="B20" s="3" t="n"/>
      <c r="C20" s="3" t="n"/>
      <c r="D20" s="3" t="n"/>
      <c r="E20" s="4" t="n"/>
      <c r="F20" s="4" t="n"/>
      <c r="G20" s="2" t="n"/>
      <c r="H20" s="2" t="n"/>
      <c r="I20" s="4" t="n"/>
      <c r="J20" s="5">
        <f>IF(C20="","",F20+G20-1)</f>
        <v/>
      </c>
      <c r="K20" s="6">
        <f>IF(C20="","",J20-I20)</f>
        <v/>
      </c>
      <c r="L20" s="7">
        <f>IF(C20="","",REPT("·",MAX(0,F20-E20))&amp;REPT("█",G20))</f>
        <v/>
      </c>
      <c r="M20" s="7">
        <f>IF(C20="","",IF(H20&gt;=100,"Hoàn thành",IF(K20&lt;0,"Trễ hạn",IF(F20&gt;I20,"Chưa tới lượt","Đang chạy"))))</f>
        <v/>
      </c>
    </row>
    <row r="21">
      <c r="A21" s="2" t="n"/>
      <c r="B21" s="3" t="n"/>
      <c r="C21" s="3" t="n"/>
      <c r="D21" s="3" t="n"/>
      <c r="E21" s="4" t="n"/>
      <c r="F21" s="4" t="n"/>
      <c r="G21" s="2" t="n"/>
      <c r="H21" s="2" t="n"/>
      <c r="I21" s="4" t="n"/>
      <c r="J21" s="5">
        <f>IF(C21="","",F21+G21-1)</f>
        <v/>
      </c>
      <c r="K21" s="6">
        <f>IF(C21="","",J21-I21)</f>
        <v/>
      </c>
      <c r="L21" s="7">
        <f>IF(C21="","",REPT("·",MAX(0,F21-E21))&amp;REPT("█",G21))</f>
        <v/>
      </c>
      <c r="M21" s="7">
        <f>IF(C21="","",IF(H21&gt;=100,"Hoàn thành",IF(K21&lt;0,"Trễ hạn",IF(F21&gt;I21,"Chưa tới lượt","Đang chạy"))))</f>
        <v/>
      </c>
    </row>
    <row r="22">
      <c r="A22" s="2" t="n"/>
      <c r="B22" s="3" t="n"/>
      <c r="C22" s="3" t="n"/>
      <c r="D22" s="3" t="n"/>
      <c r="E22" s="4" t="n"/>
      <c r="F22" s="4" t="n"/>
      <c r="G22" s="2" t="n"/>
      <c r="H22" s="2" t="n"/>
      <c r="I22" s="4" t="n"/>
      <c r="J22" s="5">
        <f>IF(C22="","",F22+G22-1)</f>
        <v/>
      </c>
      <c r="K22" s="6">
        <f>IF(C22="","",J22-I22)</f>
        <v/>
      </c>
      <c r="L22" s="7">
        <f>IF(C22="","",REPT("·",MAX(0,F22-E22))&amp;REPT("█",G22))</f>
        <v/>
      </c>
      <c r="M22" s="7">
        <f>IF(C22="","",IF(H22&gt;=100,"Hoàn thành",IF(K22&lt;0,"Trễ hạn",IF(F22&gt;I22,"Chưa tới lượt","Đang chạy"))))</f>
        <v/>
      </c>
    </row>
    <row r="23">
      <c r="A23" s="2" t="n"/>
      <c r="B23" s="3" t="n"/>
      <c r="C23" s="3" t="n"/>
      <c r="D23" s="3" t="n"/>
      <c r="E23" s="4" t="n"/>
      <c r="F23" s="4" t="n"/>
      <c r="G23" s="2" t="n"/>
      <c r="H23" s="2" t="n"/>
      <c r="I23" s="4" t="n"/>
      <c r="J23" s="5">
        <f>IF(C23="","",F23+G23-1)</f>
        <v/>
      </c>
      <c r="K23" s="6">
        <f>IF(C23="","",J23-I23)</f>
        <v/>
      </c>
      <c r="L23" s="7">
        <f>IF(C23="","",REPT("·",MAX(0,F23-E23))&amp;REPT("█",G23))</f>
        <v/>
      </c>
      <c r="M23" s="7">
        <f>IF(C23="","",IF(H23&gt;=100,"Hoàn thành",IF(K23&lt;0,"Trễ hạn",IF(F23&gt;I23,"Chưa tới lượt","Đang chạy"))))</f>
        <v/>
      </c>
    </row>
    <row r="24">
      <c r="A24" s="2" t="n"/>
      <c r="B24" s="3" t="n"/>
      <c r="C24" s="3" t="n"/>
      <c r="D24" s="3" t="n"/>
      <c r="E24" s="4" t="n"/>
      <c r="F24" s="4" t="n"/>
      <c r="G24" s="2" t="n"/>
      <c r="H24" s="2" t="n"/>
      <c r="I24" s="4" t="n"/>
      <c r="J24" s="5">
        <f>IF(C24="","",F24+G24-1)</f>
        <v/>
      </c>
      <c r="K24" s="6">
        <f>IF(C24="","",J24-I24)</f>
        <v/>
      </c>
      <c r="L24" s="7">
        <f>IF(C24="","",REPT("·",MAX(0,F24-E24))&amp;REPT("█",G24))</f>
        <v/>
      </c>
      <c r="M24" s="7">
        <f>IF(C24="","",IF(H24&gt;=100,"Hoàn thành",IF(K24&lt;0,"Trễ hạn",IF(F24&gt;I24,"Chưa tới lượt","Đang chạy"))))</f>
        <v/>
      </c>
    </row>
    <row r="25">
      <c r="A25" s="2" t="n"/>
      <c r="B25" s="3" t="n"/>
      <c r="C25" s="3" t="n"/>
      <c r="D25" s="3" t="n"/>
      <c r="E25" s="4" t="n"/>
      <c r="F25" s="4" t="n"/>
      <c r="G25" s="2" t="n"/>
      <c r="H25" s="2" t="n"/>
      <c r="I25" s="4" t="n"/>
      <c r="J25" s="5">
        <f>IF(C25="","",F25+G25-1)</f>
        <v/>
      </c>
      <c r="K25" s="6">
        <f>IF(C25="","",J25-I25)</f>
        <v/>
      </c>
      <c r="L25" s="7">
        <f>IF(C25="","",REPT("·",MAX(0,F25-E25))&amp;REPT("█",G25))</f>
        <v/>
      </c>
      <c r="M25" s="7">
        <f>IF(C25="","",IF(H25&gt;=100,"Hoàn thành",IF(K25&lt;0,"Trễ hạn",IF(F25&gt;I25,"Chưa tới lượt","Đang chạy"))))</f>
        <v/>
      </c>
    </row>
    <row r="26">
      <c r="A26" s="2" t="n"/>
      <c r="B26" s="3" t="n"/>
      <c r="C26" s="3" t="n"/>
      <c r="D26" s="3" t="n"/>
      <c r="E26" s="4" t="n"/>
      <c r="F26" s="4" t="n"/>
      <c r="G26" s="2" t="n"/>
      <c r="H26" s="2" t="n"/>
      <c r="I26" s="4" t="n"/>
      <c r="J26" s="5">
        <f>IF(C26="","",F26+G26-1)</f>
        <v/>
      </c>
      <c r="K26" s="6">
        <f>IF(C26="","",J26-I26)</f>
        <v/>
      </c>
      <c r="L26" s="7">
        <f>IF(C26="","",REPT("·",MAX(0,F26-E26))&amp;REPT("█",G26))</f>
        <v/>
      </c>
      <c r="M26" s="7">
        <f>IF(C26="","",IF(H26&gt;=100,"Hoàn thành",IF(K26&lt;0,"Trễ hạn",IF(F26&gt;I26,"Chưa tới lượt","Đang chạy"))))</f>
        <v/>
      </c>
    </row>
    <row r="27">
      <c r="A27" s="2" t="n"/>
      <c r="B27" s="3" t="n"/>
      <c r="C27" s="3" t="n"/>
      <c r="D27" s="3" t="n"/>
      <c r="E27" s="4" t="n"/>
      <c r="F27" s="4" t="n"/>
      <c r="G27" s="2" t="n"/>
      <c r="H27" s="2" t="n"/>
      <c r="I27" s="4" t="n"/>
      <c r="J27" s="5">
        <f>IF(C27="","",F27+G27-1)</f>
        <v/>
      </c>
      <c r="K27" s="6">
        <f>IF(C27="","",J27-I27)</f>
        <v/>
      </c>
      <c r="L27" s="7">
        <f>IF(C27="","",REPT("·",MAX(0,F27-E27))&amp;REPT("█",G27))</f>
        <v/>
      </c>
      <c r="M27" s="7">
        <f>IF(C27="","",IF(H27&gt;=100,"Hoàn thành",IF(K27&lt;0,"Trễ hạn",IF(F27&gt;I27,"Chưa tới lượt","Đang chạy"))))</f>
        <v/>
      </c>
    </row>
    <row r="28">
      <c r="A28" s="2" t="n"/>
      <c r="B28" s="3" t="n"/>
      <c r="C28" s="3" t="n"/>
      <c r="D28" s="3" t="n"/>
      <c r="E28" s="4" t="n"/>
      <c r="F28" s="4" t="n"/>
      <c r="G28" s="2" t="n"/>
      <c r="H28" s="2" t="n"/>
      <c r="I28" s="4" t="n"/>
      <c r="J28" s="5">
        <f>IF(C28="","",F28+G28-1)</f>
        <v/>
      </c>
      <c r="K28" s="6">
        <f>IF(C28="","",J28-I28)</f>
        <v/>
      </c>
      <c r="L28" s="7">
        <f>IF(C28="","",REPT("·",MAX(0,F28-E28))&amp;REPT("█",G28))</f>
        <v/>
      </c>
      <c r="M28" s="7">
        <f>IF(C28="","",IF(H28&gt;=100,"Hoàn thành",IF(K28&lt;0,"Trễ hạn",IF(F28&gt;I28,"Chưa tới lượt","Đang chạy"))))</f>
        <v/>
      </c>
    </row>
    <row r="29">
      <c r="A29" s="2" t="n"/>
      <c r="B29" s="3" t="n"/>
      <c r="C29" s="3" t="n"/>
      <c r="D29" s="3" t="n"/>
      <c r="E29" s="4" t="n"/>
      <c r="F29" s="4" t="n"/>
      <c r="G29" s="2" t="n"/>
      <c r="H29" s="2" t="n"/>
      <c r="I29" s="4" t="n"/>
      <c r="J29" s="5">
        <f>IF(C29="","",F29+G29-1)</f>
        <v/>
      </c>
      <c r="K29" s="6">
        <f>IF(C29="","",J29-I29)</f>
        <v/>
      </c>
      <c r="L29" s="7">
        <f>IF(C29="","",REPT("·",MAX(0,F29-E29))&amp;REPT("█",G29))</f>
        <v/>
      </c>
      <c r="M29" s="7">
        <f>IF(C29="","",IF(H29&gt;=100,"Hoàn thành",IF(K29&lt;0,"Trễ hạn",IF(F29&gt;I29,"Chưa tới lượt","Đang chạy"))))</f>
        <v/>
      </c>
    </row>
    <row r="30">
      <c r="A30" s="2" t="n"/>
      <c r="B30" s="3" t="n"/>
      <c r="C30" s="3" t="n"/>
      <c r="D30" s="3" t="n"/>
      <c r="E30" s="4" t="n"/>
      <c r="F30" s="4" t="n"/>
      <c r="G30" s="2" t="n"/>
      <c r="H30" s="2" t="n"/>
      <c r="I30" s="4" t="n"/>
      <c r="J30" s="5">
        <f>IF(C30="","",F30+G30-1)</f>
        <v/>
      </c>
      <c r="K30" s="6">
        <f>IF(C30="","",J30-I30)</f>
        <v/>
      </c>
      <c r="L30" s="7">
        <f>IF(C30="","",REPT("·",MAX(0,F30-E30))&amp;REPT("█",G30))</f>
        <v/>
      </c>
      <c r="M30" s="7">
        <f>IF(C30="","",IF(H30&gt;=100,"Hoàn thành",IF(K30&lt;0,"Trễ hạn",IF(F30&gt;I30,"Chưa tới lượt","Đang chạy"))))</f>
        <v/>
      </c>
    </row>
    <row r="31">
      <c r="A31" s="2" t="n"/>
      <c r="B31" s="3" t="n"/>
      <c r="C31" s="3" t="n"/>
      <c r="D31" s="3" t="n"/>
      <c r="E31" s="4" t="n"/>
      <c r="F31" s="4" t="n"/>
      <c r="G31" s="2" t="n"/>
      <c r="H31" s="2" t="n"/>
      <c r="I31" s="4" t="n"/>
      <c r="J31" s="5">
        <f>IF(C31="","",F31+G31-1)</f>
        <v/>
      </c>
      <c r="K31" s="6">
        <f>IF(C31="","",J31-I31)</f>
        <v/>
      </c>
      <c r="L31" s="7">
        <f>IF(C31="","",REPT("·",MAX(0,F31-E31))&amp;REPT("█",G31))</f>
        <v/>
      </c>
      <c r="M31" s="7">
        <f>IF(C31="","",IF(H31&gt;=100,"Hoàn thành",IF(K31&lt;0,"Trễ hạn",IF(F31&gt;I31,"Chưa tới lượt","Đang chạy"))))</f>
        <v/>
      </c>
    </row>
    <row r="32">
      <c r="A32" s="2" t="n"/>
      <c r="B32" s="3" t="n"/>
      <c r="C32" s="3" t="n"/>
      <c r="D32" s="3" t="n"/>
      <c r="E32" s="4" t="n"/>
      <c r="F32" s="4" t="n"/>
      <c r="G32" s="2" t="n"/>
      <c r="H32" s="2" t="n"/>
      <c r="I32" s="4" t="n"/>
      <c r="J32" s="5">
        <f>IF(C32="","",F32+G32-1)</f>
        <v/>
      </c>
      <c r="K32" s="6">
        <f>IF(C32="","",J32-I32)</f>
        <v/>
      </c>
      <c r="L32" s="7">
        <f>IF(C32="","",REPT("·",MAX(0,F32-E32))&amp;REPT("█",G32))</f>
        <v/>
      </c>
      <c r="M32" s="7">
        <f>IF(C32="","",IF(H32&gt;=100,"Hoàn thành",IF(K32&lt;0,"Trễ hạn",IF(F32&gt;I32,"Chưa tới lượt","Đang chạy"))))</f>
        <v/>
      </c>
    </row>
  </sheetData>
  <autoFilter ref="A1:M32"/>
  <dataValidations count="2">
    <dataValidation sqref="G2:G32" showDropDown="0" showInputMessage="0" showErrorMessage="0" allowBlank="1" errorTitle="Sai định dạng" error="Giá trị không hợp lệ cho cột này." type="whole" operator="between">
      <formula1>1</formula1>
      <formula2>60</formula2>
    </dataValidation>
    <dataValidation sqref="H2:H32" showDropDown="0" showInputMessage="0" showErrorMessage="0" allowBlank="1" errorTitle="Sai định dạng" error="Giá trị không hợp lệ cho cột này." type="decimal" operator="between">
      <formula1>0</formula1>
      <formula2>100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4"/>
  <sheetViews>
    <sheetView workbookViewId="0">
      <selection activeCell="A1" sqref="A1"/>
    </sheetView>
  </sheetViews>
  <sheetFormatPr baseColWidth="8" defaultRowHeight="15"/>
  <cols>
    <col width="4" customWidth="1" min="1" max="1"/>
    <col width="100" customWidth="1" min="2" max="2"/>
  </cols>
  <sheetData>
    <row r="1">
      <c r="B1" s="8" t="inlineStr">
        <is>
          <t>Mẫu Gantt chart Excel vẽ bằng công thức, không cần định dạng có điều kiện</t>
        </is>
      </c>
    </row>
    <row r="2">
      <c r="B2" s="9" t="inlineStr"/>
    </row>
    <row r="3">
      <c r="B3" s="10" t="inlineStr">
        <is>
          <t>CÁCH DÙNG</t>
        </is>
      </c>
    </row>
    <row r="4">
      <c r="B4" s="11" t="inlineStr">
        <is>
          <t>1. Đặt mốc gốc cho sơ đồ</t>
        </is>
      </c>
    </row>
    <row r="5">
      <c r="B5" s="9" t="inlineStr">
        <is>
          <t xml:space="preserve">   Cột Mốc gốc sơ đồ là ngày ứng với vạch đầu tiên của thanh, thường là ngày khởi động dự án. Điền cùng một ngày cho mọi dòng. Muốn phóng to vào một giai đoạn thì đổi mốc gốc thành ngày đầu giai đoạn đó, cả sơ đồ sẽ trượt theo.</t>
        </is>
      </c>
    </row>
    <row r="6">
      <c r="B6" s="11" t="inlineStr">
        <is>
          <t>2. Nhập ngày bắt đầu và số ngày thực hiện</t>
        </is>
      </c>
    </row>
    <row r="7">
      <c r="B7" s="9" t="inlineStr">
        <is>
          <t xml:space="preserve">   Hai con số này quyết định thanh nằm ở đâu và dài bao nhiêu. Số ngày thực hiện tính theo ngày lịch, kể cả cuối tuần — muốn tính theo ngày làm việc thì phải quy đổi trước khi nhập.</t>
        </is>
      </c>
    </row>
    <row r="8">
      <c r="B8" s="11" t="inlineStr">
        <is>
          <t>3. Kéo giãn cột sơ đồ và dùng phông đều nét</t>
        </is>
      </c>
    </row>
    <row r="9">
      <c r="B9" s="9" t="inlineStr">
        <is>
          <t xml:space="preserve">   Cột Sơ đồ nên để rộng và đặt phông chữ có bề ngang các ký tự bằng nhau như Consolas hay Courier New. Với phông thường, khoảng trắng hẹp hơn ký tự đặc nên các thanh sẽ lệch vạch dù công thức vẫn đúng.</t>
        </is>
      </c>
    </row>
    <row r="10">
      <c r="B10" s="11" t="inlineStr">
        <is>
          <t>4. Cập nhật phần trăm và ngày chốt sổ</t>
        </is>
      </c>
    </row>
    <row r="11">
      <c r="B11" s="9" t="inlineStr">
        <is>
          <t xml:space="preserve">   Mỗi lần rà soát, sửa phần trăm hoàn thành của từng dòng và đổi ngày chốt sổ cho cả cột. Cột trạng thái sẽ tự phân loại lại, và bạn đọc sơ đồ kèm trạng thái là đủ cho một cuộc họp tiến độ.</t>
        </is>
      </c>
    </row>
    <row r="12">
      <c r="B12" s="9" t="inlineStr"/>
    </row>
    <row r="13">
      <c r="B13" s="10" t="inlineStr">
        <is>
          <t>CÔNG THỨC TRONG FILE</t>
        </is>
      </c>
    </row>
    <row r="14">
      <c r="B14" s="11" t="inlineStr">
        <is>
          <t>Ngày kết thúc  —  =IF(C2="","",F2+G2-1)</t>
        </is>
      </c>
    </row>
    <row r="15">
      <c r="B15" s="9" t="inlineStr">
        <is>
          <t xml:space="preserve">   Ngày bắt đầu cộng số ngày thực hiện, trừ đi một vì chính ngày bắt đầu đã là ngày thứ nhất. Thiếu phép trừ này thì mọi đầu việc dài thêm một ngày, và sai số đó dồn lại rất nhanh khi các việc nối tiếp nhau.</t>
        </is>
      </c>
    </row>
    <row r="16">
      <c r="B16" s="11" t="inlineStr">
        <is>
          <t>Số ngày còn lại  —  =IF(C2="","",J2-I2)</t>
        </is>
      </c>
    </row>
    <row r="17">
      <c r="B17" s="9" t="inlineStr">
        <is>
          <t xml:space="preserve">   Ngày kết thúc trừ ngày chốt sổ. Để nguyên số âm vì đó chính là số ngày đã quá hạn — thông tin cần thấy chứ không phải lỗi cần chặn.</t>
        </is>
      </c>
    </row>
    <row r="18">
      <c r="B18" s="11" t="inlineStr">
        <is>
          <t>Sơ đồ  —  =IF(C2="","",REPT("·",MAX(0,F2-E2))&amp;REPT("█",G2))</t>
        </is>
      </c>
    </row>
    <row r="19">
      <c r="B19" s="9" t="inlineStr">
        <is>
          <t xml:space="preserve">   Hai lần gọi REPT ghép lại: đoạn đầu lặp dấu chấm đúng bằng số ngày từ mốc gốc tới ngày bắt đầu để đẩy thanh sang phải, đoạn sau lặp ký tự khối đúng bằng số ngày thực hiện. MAX(0;…) chặn trường hợp một đầu việc bắt đầu trước mốc gốc, khi đó REPT nhận số âm và sẽ báo lỗi #VALUE!.</t>
        </is>
      </c>
    </row>
    <row r="20">
      <c r="B20" s="11" t="inlineStr">
        <is>
          <t>Trạng thái  —  =IF(C2="","",IF(H2&gt;=100,"Hoàn thành",IF(K2&lt;0,"Trễ hạn",IF(F2&gt;I2,"Chưa tới lượt","Đang chạy"))))</t>
        </is>
      </c>
    </row>
    <row r="21">
      <c r="B21" s="9" t="inlineStr">
        <is>
          <t xml:space="preserve">   Bốn trạng thái đủ để đọc một sơ đồ Gantt. Việc chưa tới lượt được tách riêng khỏi việc đang chạy vì nó không cần ai hỏi han trong cuộc họp tuần này, còn gộp chung thì danh sách theo dõi dài gấp đôi mà không thêm thông tin.</t>
        </is>
      </c>
    </row>
    <row r="22">
      <c r="B22" s="9" t="inlineStr"/>
    </row>
    <row r="23">
      <c r="B23" s="11" t="inlineStr">
        <is>
          <t>Bản cập nhật mới nhất và hướng dẫn chi tiết:</t>
        </is>
      </c>
    </row>
    <row r="24">
      <c r="B24" s="12" t="inlineStr">
        <is>
          <t>https://excel.nguyenvietloc.com/mau-excel/quan-ly-cong-viec/gantt-chart-excel</t>
        </is>
      </c>
    </row>
  </sheetData>
  <hyperlinks>
    <hyperlink xmlns:r="http://schemas.openxmlformats.org/officeDocument/2006/relationships" ref="B24"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2026-08-10T14:56:09Z</dcterms:created>
  <dcterms:modified xsi:type="dcterms:W3CDTF">2026-08-10T14:56:09Z</dcterms:modified>
</cp:coreProperties>
</file>