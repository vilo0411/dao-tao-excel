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mục dự án" sheetId="1" state="visible" r:id="rId1"/>
    <sheet name="Hướng dẫn" sheetId="2" state="visible" r:id="rId2"/>
  </sheets>
  <definedNames>
    <definedName name="_xlnm._FilterDatabase" localSheetId="0" hidden="1">'Danh mục dự án'!$A$1:$P$32</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8" fontId="0" fillId="3" borderId="1" pivotButton="0" quotePrefix="0" xfId="0"/>
    <xf numFmtId="164" fontId="0" fillId="3" borderId="1" pivotButton="0" quotePrefix="0" xfId="0"/>
    <xf numFmtId="167"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bang-theo-doi-du-an" TargetMode="External" Id="rId1" /></Relationships>
</file>

<file path=xl/worksheets/sheet1.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32" customWidth="1" min="3" max="3"/>
    <col width="20" customWidth="1" min="4" max="4"/>
    <col width="12" customWidth="1" min="5" max="5"/>
    <col width="12" customWidth="1" min="6" max="6"/>
    <col width="18" customWidth="1" min="7" max="7"/>
    <col width="18" customWidth="1" min="8" max="8"/>
    <col width="13" customWidth="1" min="9" max="9"/>
    <col width="12" customWidth="1" min="10" max="10"/>
    <col width="14" customWidth="1" min="11" max="11"/>
    <col width="12" customWidth="1" min="12" max="12"/>
    <col width="12" customWidth="1" min="13" max="13"/>
    <col width="13" customWidth="1" min="14" max="14"/>
    <col width="20" customWidth="1" min="15" max="15"/>
    <col width="30" customWidth="1" min="16" max="16"/>
  </cols>
  <sheetData>
    <row r="1" ht="32" customHeight="1">
      <c r="A1" s="1" t="inlineStr">
        <is>
          <t>STT</t>
        </is>
      </c>
      <c r="B1" s="1" t="inlineStr">
        <is>
          <t>Mã dự án</t>
        </is>
      </c>
      <c r="C1" s="1" t="inlineStr">
        <is>
          <t>Tên dự án</t>
        </is>
      </c>
      <c r="D1" s="1" t="inlineStr">
        <is>
          <t>Chủ nhiệm dự án</t>
        </is>
      </c>
      <c r="E1" s="1" t="inlineStr">
        <is>
          <t>Ngày bắt đầu</t>
        </is>
      </c>
      <c r="F1" s="1" t="inlineStr">
        <is>
          <t>Hạn kết thúc</t>
        </is>
      </c>
      <c r="G1" s="1" t="inlineStr">
        <is>
          <t>Ngân sách duyệt</t>
        </is>
      </c>
      <c r="H1" s="1" t="inlineStr">
        <is>
          <t>Chi phí đã dùng</t>
        </is>
      </c>
      <c r="I1" s="1" t="inlineStr">
        <is>
          <t>Hoàn thành (%)</t>
        </is>
      </c>
      <c r="J1" s="1" t="inlineStr">
        <is>
          <t>Ngày chốt sổ</t>
        </is>
      </c>
      <c r="K1" s="1" t="inlineStr">
        <is>
          <t>Tiến độ kỳ vọng</t>
        </is>
      </c>
      <c r="L1" s="1" t="inlineStr">
        <is>
          <t>Lệch tiến độ</t>
        </is>
      </c>
      <c r="M1" s="1" t="inlineStr">
        <is>
          <t>Đã giải ngân</t>
        </is>
      </c>
      <c r="N1" s="1" t="inlineStr">
        <is>
          <t>Hiệu quả chi phí</t>
        </is>
      </c>
      <c r="O1" s="1" t="inlineStr">
        <is>
          <t>Ước tính chi phí hoàn thành</t>
        </is>
      </c>
      <c r="P1" s="1" t="inlineStr">
        <is>
          <t>Cảnh báo</t>
        </is>
      </c>
    </row>
    <row r="2">
      <c r="A2" s="2" t="n">
        <v>1</v>
      </c>
      <c r="B2" s="3" t="inlineStr">
        <is>
          <t>DA01</t>
        </is>
      </c>
      <c r="C2" s="3" t="inlineStr">
        <is>
          <t>Nâng cấp dây chuyền đóng gói tự động</t>
        </is>
      </c>
      <c r="D2" s="3" t="inlineStr">
        <is>
          <t>Phạm Thị Lan</t>
        </is>
      </c>
      <c r="E2" s="4" t="n">
        <v>46113</v>
      </c>
      <c r="F2" s="4" t="n">
        <v>46295</v>
      </c>
      <c r="G2" s="5" t="n">
        <v>1800000000</v>
      </c>
      <c r="H2" s="5" t="n">
        <v>1150000000</v>
      </c>
      <c r="I2" s="2" t="n">
        <v>55</v>
      </c>
      <c r="J2" s="4" t="n">
        <v>46227</v>
      </c>
      <c r="K2" s="6">
        <f>IF(C2="","",IFERROR(MIN(1,MAX(0,(J2-E2)/(F2-E2))),0))</f>
        <v/>
      </c>
      <c r="L2" s="6">
        <f>IF(C2="","",I2/100-K2)</f>
        <v/>
      </c>
      <c r="M2" s="6">
        <f>IF(C2="","",IFERROR(H2/G2,0))</f>
        <v/>
      </c>
      <c r="N2" s="7">
        <f>IF(C2="","",IFERROR((I2/100)/M2,0))</f>
        <v/>
      </c>
      <c r="O2" s="8">
        <f>IF(C2="","",IFERROR(ROUND(G2/N2,0),G2))</f>
        <v/>
      </c>
      <c r="P2" s="9">
        <f>IF(C2="","",IF(I2&gt;=100,"Đã hoàn thành",IF(O2&gt;G2*1.05,"Dự báo vượt ngân sách",IF(L2&lt;-0.1,"Chậm tiến độ",IF(J2&gt;F2,"Quá hạn kết thúc","Trong tầm kiểm soát")))))</f>
        <v/>
      </c>
    </row>
    <row r="3">
      <c r="A3" s="2" t="n">
        <v>2</v>
      </c>
      <c r="B3" s="3" t="inlineStr">
        <is>
          <t>DA02</t>
        </is>
      </c>
      <c r="C3" s="3" t="inlineStr">
        <is>
          <t>Triển khai phần mềm quản lý kho</t>
        </is>
      </c>
      <c r="D3" s="3" t="inlineStr">
        <is>
          <t>Đỗ Hoàng Nam</t>
        </is>
      </c>
      <c r="E3" s="4" t="n">
        <v>46157</v>
      </c>
      <c r="F3" s="4" t="n">
        <v>46249</v>
      </c>
      <c r="G3" s="5" t="n">
        <v>450000000</v>
      </c>
      <c r="H3" s="5" t="n">
        <v>270000000</v>
      </c>
      <c r="I3" s="2" t="n">
        <v>70</v>
      </c>
      <c r="J3" s="4" t="n">
        <v>46227</v>
      </c>
      <c r="K3" s="6">
        <f>IF(C3="","",IFERROR(MIN(1,MAX(0,(J3-E3)/(F3-E3))),0))</f>
        <v/>
      </c>
      <c r="L3" s="6">
        <f>IF(C3="","",I3/100-K3)</f>
        <v/>
      </c>
      <c r="M3" s="6">
        <f>IF(C3="","",IFERROR(H3/G3,0))</f>
        <v/>
      </c>
      <c r="N3" s="7">
        <f>IF(C3="","",IFERROR((I3/100)/M3,0))</f>
        <v/>
      </c>
      <c r="O3" s="8">
        <f>IF(C3="","",IFERROR(ROUND(G3/N3,0),G3))</f>
        <v/>
      </c>
      <c r="P3" s="9">
        <f>IF(C3="","",IF(I3&gt;=100,"Đã hoàn thành",IF(O3&gt;G3*1.05,"Dự báo vượt ngân sách",IF(L3&lt;-0.1,"Chậm tiến độ",IF(J3&gt;F3,"Quá hạn kết thúc","Trong tầm kiểm soát")))))</f>
        <v/>
      </c>
    </row>
    <row r="4">
      <c r="A4" s="2" t="n">
        <v>3</v>
      </c>
      <c r="B4" s="3" t="inlineStr">
        <is>
          <t>DA03</t>
        </is>
      </c>
      <c r="C4" s="3" t="inlineStr">
        <is>
          <t>Mở chi nhánh bán hàng khu vực miền Trung</t>
        </is>
      </c>
      <c r="D4" s="3" t="inlineStr">
        <is>
          <t>Nguyễn Văn Minh</t>
        </is>
      </c>
      <c r="E4" s="4" t="n">
        <v>46082</v>
      </c>
      <c r="F4" s="4" t="n">
        <v>46218</v>
      </c>
      <c r="G4" s="5" t="n">
        <v>900000000</v>
      </c>
      <c r="H4" s="5" t="n">
        <v>870000000</v>
      </c>
      <c r="I4" s="2" t="n">
        <v>92</v>
      </c>
      <c r="J4" s="4" t="n">
        <v>46227</v>
      </c>
      <c r="K4" s="6">
        <f>IF(C4="","",IFERROR(MIN(1,MAX(0,(J4-E4)/(F4-E4))),0))</f>
        <v/>
      </c>
      <c r="L4" s="6">
        <f>IF(C4="","",I4/100-K4)</f>
        <v/>
      </c>
      <c r="M4" s="6">
        <f>IF(C4="","",IFERROR(H4/G4,0))</f>
        <v/>
      </c>
      <c r="N4" s="7">
        <f>IF(C4="","",IFERROR((I4/100)/M4,0))</f>
        <v/>
      </c>
      <c r="O4" s="8">
        <f>IF(C4="","",IFERROR(ROUND(G4/N4,0),G4))</f>
        <v/>
      </c>
      <c r="P4" s="9">
        <f>IF(C4="","",IF(I4&gt;=100,"Đã hoàn thành",IF(O4&gt;G4*1.05,"Dự báo vượt ngân sách",IF(L4&lt;-0.1,"Chậm tiến độ",IF(J4&gt;F4,"Quá hạn kết thúc","Trong tầm kiểm soát")))))</f>
        <v/>
      </c>
    </row>
    <row r="5">
      <c r="A5" s="2" t="n">
        <v>4</v>
      </c>
      <c r="B5" s="3" t="inlineStr">
        <is>
          <t>DA04</t>
        </is>
      </c>
      <c r="C5" s="3" t="inlineStr">
        <is>
          <t>Xây dựng bộ nhận diện thương hiệu mới</t>
        </is>
      </c>
      <c r="D5" s="3" t="inlineStr">
        <is>
          <t>Lê Quốc Bảo</t>
        </is>
      </c>
      <c r="E5" s="4" t="n">
        <v>46174</v>
      </c>
      <c r="F5" s="4" t="n">
        <v>46326</v>
      </c>
      <c r="G5" s="5" t="n">
        <v>320000000</v>
      </c>
      <c r="H5" s="5" t="n">
        <v>96000000</v>
      </c>
      <c r="I5" s="2" t="n">
        <v>30</v>
      </c>
      <c r="J5" s="4" t="n">
        <v>46227</v>
      </c>
      <c r="K5" s="6">
        <f>IF(C5="","",IFERROR(MIN(1,MAX(0,(J5-E5)/(F5-E5))),0))</f>
        <v/>
      </c>
      <c r="L5" s="6">
        <f>IF(C5="","",I5/100-K5)</f>
        <v/>
      </c>
      <c r="M5" s="6">
        <f>IF(C5="","",IFERROR(H5/G5,0))</f>
        <v/>
      </c>
      <c r="N5" s="7">
        <f>IF(C5="","",IFERROR((I5/100)/M5,0))</f>
        <v/>
      </c>
      <c r="O5" s="8">
        <f>IF(C5="","",IFERROR(ROUND(G5/N5,0),G5))</f>
        <v/>
      </c>
      <c r="P5" s="9">
        <f>IF(C5="","",IF(I5&gt;=100,"Đã hoàn thành",IF(O5&gt;G5*1.05,"Dự báo vượt ngân sách",IF(L5&lt;-0.1,"Chậm tiến độ",IF(J5&gt;F5,"Quá hạn kết thúc","Trong tầm kiểm soát")))))</f>
        <v/>
      </c>
    </row>
    <row r="6">
      <c r="A6" s="2" t="n">
        <v>5</v>
      </c>
      <c r="B6" s="3" t="inlineStr">
        <is>
          <t>DA05</t>
        </is>
      </c>
      <c r="C6" s="3" t="inlineStr">
        <is>
          <t>Chuẩn hóa hệ thống tài liệu chất lượng</t>
        </is>
      </c>
      <c r="D6" s="3" t="inlineStr">
        <is>
          <t>Trần Thu Hà</t>
        </is>
      </c>
      <c r="E6" s="4" t="n">
        <v>46054</v>
      </c>
      <c r="F6" s="4" t="n">
        <v>46203</v>
      </c>
      <c r="G6" s="5" t="n">
        <v>260000000</v>
      </c>
      <c r="H6" s="5" t="n">
        <v>248000000</v>
      </c>
      <c r="I6" s="2" t="n">
        <v>100</v>
      </c>
      <c r="J6" s="4" t="n">
        <v>46227</v>
      </c>
      <c r="K6" s="6">
        <f>IF(C6="","",IFERROR(MIN(1,MAX(0,(J6-E6)/(F6-E6))),0))</f>
        <v/>
      </c>
      <c r="L6" s="6">
        <f>IF(C6="","",I6/100-K6)</f>
        <v/>
      </c>
      <c r="M6" s="6">
        <f>IF(C6="","",IFERROR(H6/G6,0))</f>
        <v/>
      </c>
      <c r="N6" s="7">
        <f>IF(C6="","",IFERROR((I6/100)/M6,0))</f>
        <v/>
      </c>
      <c r="O6" s="8">
        <f>IF(C6="","",IFERROR(ROUND(G6/N6,0),G6))</f>
        <v/>
      </c>
      <c r="P6" s="9">
        <f>IF(C6="","",IF(I6&gt;=100,"Đã hoàn thành",IF(O6&gt;G6*1.05,"Dự báo vượt ngân sách",IF(L6&lt;-0.1,"Chậm tiến độ",IF(J6&gt;F6,"Quá hạn kết thúc","Trong tầm kiểm soát")))))</f>
        <v/>
      </c>
    </row>
    <row r="7">
      <c r="A7" s="2" t="n">
        <v>6</v>
      </c>
      <c r="B7" s="3" t="inlineStr">
        <is>
          <t>DA06</t>
        </is>
      </c>
      <c r="C7" s="3" t="inlineStr">
        <is>
          <t>Số hóa quy trình duyệt chi nội bộ</t>
        </is>
      </c>
      <c r="D7" s="3" t="inlineStr">
        <is>
          <t>Vũ Minh Châu</t>
        </is>
      </c>
      <c r="E7" s="4" t="n">
        <v>46143</v>
      </c>
      <c r="F7" s="4" t="n">
        <v>46280</v>
      </c>
      <c r="G7" s="5" t="n">
        <v>380000000</v>
      </c>
      <c r="H7" s="5" t="n">
        <v>190000000</v>
      </c>
      <c r="I7" s="2" t="n">
        <v>35</v>
      </c>
      <c r="J7" s="4" t="n">
        <v>46227</v>
      </c>
      <c r="K7" s="6">
        <f>IF(C7="","",IFERROR(MIN(1,MAX(0,(J7-E7)/(F7-E7))),0))</f>
        <v/>
      </c>
      <c r="L7" s="6">
        <f>IF(C7="","",I7/100-K7)</f>
        <v/>
      </c>
      <c r="M7" s="6">
        <f>IF(C7="","",IFERROR(H7/G7,0))</f>
        <v/>
      </c>
      <c r="N7" s="7">
        <f>IF(C7="","",IFERROR((I7/100)/M7,0))</f>
        <v/>
      </c>
      <c r="O7" s="8">
        <f>IF(C7="","",IFERROR(ROUND(G7/N7,0),G7))</f>
        <v/>
      </c>
      <c r="P7" s="9">
        <f>IF(C7="","",IF(I7&gt;=100,"Đã hoàn thành",IF(O7&gt;G7*1.05,"Dự báo vượt ngân sách",IF(L7&lt;-0.1,"Chậm tiến độ",IF(J7&gt;F7,"Quá hạn kết thúc","Trong tầm kiểm soát")))))</f>
        <v/>
      </c>
    </row>
    <row r="8">
      <c r="A8" s="2" t="n"/>
      <c r="B8" s="3" t="n"/>
      <c r="C8" s="3" t="n"/>
      <c r="D8" s="3" t="n"/>
      <c r="E8" s="4" t="n"/>
      <c r="F8" s="4" t="n"/>
      <c r="G8" s="5" t="n"/>
      <c r="H8" s="5" t="n"/>
      <c r="I8" s="2" t="n"/>
      <c r="J8" s="4" t="n"/>
      <c r="K8" s="6">
        <f>IF(C8="","",IFERROR(MIN(1,MAX(0,(J8-E8)/(F8-E8))),0))</f>
        <v/>
      </c>
      <c r="L8" s="6">
        <f>IF(C8="","",I8/100-K8)</f>
        <v/>
      </c>
      <c r="M8" s="6">
        <f>IF(C8="","",IFERROR(H8/G8,0))</f>
        <v/>
      </c>
      <c r="N8" s="7">
        <f>IF(C8="","",IFERROR((I8/100)/M8,0))</f>
        <v/>
      </c>
      <c r="O8" s="8">
        <f>IF(C8="","",IFERROR(ROUND(G8/N8,0),G8))</f>
        <v/>
      </c>
      <c r="P8" s="9">
        <f>IF(C8="","",IF(I8&gt;=100,"Đã hoàn thành",IF(O8&gt;G8*1.05,"Dự báo vượt ngân sách",IF(L8&lt;-0.1,"Chậm tiến độ",IF(J8&gt;F8,"Quá hạn kết thúc","Trong tầm kiểm soát")))))</f>
        <v/>
      </c>
    </row>
    <row r="9">
      <c r="A9" s="2" t="n"/>
      <c r="B9" s="3" t="n"/>
      <c r="C9" s="3" t="n"/>
      <c r="D9" s="3" t="n"/>
      <c r="E9" s="4" t="n"/>
      <c r="F9" s="4" t="n"/>
      <c r="G9" s="5" t="n"/>
      <c r="H9" s="5" t="n"/>
      <c r="I9" s="2" t="n"/>
      <c r="J9" s="4" t="n"/>
      <c r="K9" s="6">
        <f>IF(C9="","",IFERROR(MIN(1,MAX(0,(J9-E9)/(F9-E9))),0))</f>
        <v/>
      </c>
      <c r="L9" s="6">
        <f>IF(C9="","",I9/100-K9)</f>
        <v/>
      </c>
      <c r="M9" s="6">
        <f>IF(C9="","",IFERROR(H9/G9,0))</f>
        <v/>
      </c>
      <c r="N9" s="7">
        <f>IF(C9="","",IFERROR((I9/100)/M9,0))</f>
        <v/>
      </c>
      <c r="O9" s="8">
        <f>IF(C9="","",IFERROR(ROUND(G9/N9,0),G9))</f>
        <v/>
      </c>
      <c r="P9" s="9">
        <f>IF(C9="","",IF(I9&gt;=100,"Đã hoàn thành",IF(O9&gt;G9*1.05,"Dự báo vượt ngân sách",IF(L9&lt;-0.1,"Chậm tiến độ",IF(J9&gt;F9,"Quá hạn kết thúc","Trong tầm kiểm soát")))))</f>
        <v/>
      </c>
    </row>
    <row r="10">
      <c r="A10" s="2" t="n"/>
      <c r="B10" s="3" t="n"/>
      <c r="C10" s="3" t="n"/>
      <c r="D10" s="3" t="n"/>
      <c r="E10" s="4" t="n"/>
      <c r="F10" s="4" t="n"/>
      <c r="G10" s="5" t="n"/>
      <c r="H10" s="5" t="n"/>
      <c r="I10" s="2" t="n"/>
      <c r="J10" s="4" t="n"/>
      <c r="K10" s="6">
        <f>IF(C10="","",IFERROR(MIN(1,MAX(0,(J10-E10)/(F10-E10))),0))</f>
        <v/>
      </c>
      <c r="L10" s="6">
        <f>IF(C10="","",I10/100-K10)</f>
        <v/>
      </c>
      <c r="M10" s="6">
        <f>IF(C10="","",IFERROR(H10/G10,0))</f>
        <v/>
      </c>
      <c r="N10" s="7">
        <f>IF(C10="","",IFERROR((I10/100)/M10,0))</f>
        <v/>
      </c>
      <c r="O10" s="8">
        <f>IF(C10="","",IFERROR(ROUND(G10/N10,0),G10))</f>
        <v/>
      </c>
      <c r="P10" s="9">
        <f>IF(C10="","",IF(I10&gt;=100,"Đã hoàn thành",IF(O10&gt;G10*1.05,"Dự báo vượt ngân sách",IF(L10&lt;-0.1,"Chậm tiến độ",IF(J10&gt;F10,"Quá hạn kết thúc","Trong tầm kiểm soát")))))</f>
        <v/>
      </c>
    </row>
    <row r="11">
      <c r="A11" s="2" t="n"/>
      <c r="B11" s="3" t="n"/>
      <c r="C11" s="3" t="n"/>
      <c r="D11" s="3" t="n"/>
      <c r="E11" s="4" t="n"/>
      <c r="F11" s="4" t="n"/>
      <c r="G11" s="5" t="n"/>
      <c r="H11" s="5" t="n"/>
      <c r="I11" s="2" t="n"/>
      <c r="J11" s="4" t="n"/>
      <c r="K11" s="6">
        <f>IF(C11="","",IFERROR(MIN(1,MAX(0,(J11-E11)/(F11-E11))),0))</f>
        <v/>
      </c>
      <c r="L11" s="6">
        <f>IF(C11="","",I11/100-K11)</f>
        <v/>
      </c>
      <c r="M11" s="6">
        <f>IF(C11="","",IFERROR(H11/G11,0))</f>
        <v/>
      </c>
      <c r="N11" s="7">
        <f>IF(C11="","",IFERROR((I11/100)/M11,0))</f>
        <v/>
      </c>
      <c r="O11" s="8">
        <f>IF(C11="","",IFERROR(ROUND(G11/N11,0),G11))</f>
        <v/>
      </c>
      <c r="P11" s="9">
        <f>IF(C11="","",IF(I11&gt;=100,"Đã hoàn thành",IF(O11&gt;G11*1.05,"Dự báo vượt ngân sách",IF(L11&lt;-0.1,"Chậm tiến độ",IF(J11&gt;F11,"Quá hạn kết thúc","Trong tầm kiểm soát")))))</f>
        <v/>
      </c>
    </row>
    <row r="12">
      <c r="A12" s="2" t="n"/>
      <c r="B12" s="3" t="n"/>
      <c r="C12" s="3" t="n"/>
      <c r="D12" s="3" t="n"/>
      <c r="E12" s="4" t="n"/>
      <c r="F12" s="4" t="n"/>
      <c r="G12" s="5" t="n"/>
      <c r="H12" s="5" t="n"/>
      <c r="I12" s="2" t="n"/>
      <c r="J12" s="4" t="n"/>
      <c r="K12" s="6">
        <f>IF(C12="","",IFERROR(MIN(1,MAX(0,(J12-E12)/(F12-E12))),0))</f>
        <v/>
      </c>
      <c r="L12" s="6">
        <f>IF(C12="","",I12/100-K12)</f>
        <v/>
      </c>
      <c r="M12" s="6">
        <f>IF(C12="","",IFERROR(H12/G12,0))</f>
        <v/>
      </c>
      <c r="N12" s="7">
        <f>IF(C12="","",IFERROR((I12/100)/M12,0))</f>
        <v/>
      </c>
      <c r="O12" s="8">
        <f>IF(C12="","",IFERROR(ROUND(G12/N12,0),G12))</f>
        <v/>
      </c>
      <c r="P12" s="9">
        <f>IF(C12="","",IF(I12&gt;=100,"Đã hoàn thành",IF(O12&gt;G12*1.05,"Dự báo vượt ngân sách",IF(L12&lt;-0.1,"Chậm tiến độ",IF(J12&gt;F12,"Quá hạn kết thúc","Trong tầm kiểm soát")))))</f>
        <v/>
      </c>
    </row>
    <row r="13">
      <c r="A13" s="2" t="n"/>
      <c r="B13" s="3" t="n"/>
      <c r="C13" s="3" t="n"/>
      <c r="D13" s="3" t="n"/>
      <c r="E13" s="4" t="n"/>
      <c r="F13" s="4" t="n"/>
      <c r="G13" s="5" t="n"/>
      <c r="H13" s="5" t="n"/>
      <c r="I13" s="2" t="n"/>
      <c r="J13" s="4" t="n"/>
      <c r="K13" s="6">
        <f>IF(C13="","",IFERROR(MIN(1,MAX(0,(J13-E13)/(F13-E13))),0))</f>
        <v/>
      </c>
      <c r="L13" s="6">
        <f>IF(C13="","",I13/100-K13)</f>
        <v/>
      </c>
      <c r="M13" s="6">
        <f>IF(C13="","",IFERROR(H13/G13,0))</f>
        <v/>
      </c>
      <c r="N13" s="7">
        <f>IF(C13="","",IFERROR((I13/100)/M13,0))</f>
        <v/>
      </c>
      <c r="O13" s="8">
        <f>IF(C13="","",IFERROR(ROUND(G13/N13,0),G13))</f>
        <v/>
      </c>
      <c r="P13" s="9">
        <f>IF(C13="","",IF(I13&gt;=100,"Đã hoàn thành",IF(O13&gt;G13*1.05,"Dự báo vượt ngân sách",IF(L13&lt;-0.1,"Chậm tiến độ",IF(J13&gt;F13,"Quá hạn kết thúc","Trong tầm kiểm soát")))))</f>
        <v/>
      </c>
    </row>
    <row r="14">
      <c r="A14" s="2" t="n"/>
      <c r="B14" s="3" t="n"/>
      <c r="C14" s="3" t="n"/>
      <c r="D14" s="3" t="n"/>
      <c r="E14" s="4" t="n"/>
      <c r="F14" s="4" t="n"/>
      <c r="G14" s="5" t="n"/>
      <c r="H14" s="5" t="n"/>
      <c r="I14" s="2" t="n"/>
      <c r="J14" s="4" t="n"/>
      <c r="K14" s="6">
        <f>IF(C14="","",IFERROR(MIN(1,MAX(0,(J14-E14)/(F14-E14))),0))</f>
        <v/>
      </c>
      <c r="L14" s="6">
        <f>IF(C14="","",I14/100-K14)</f>
        <v/>
      </c>
      <c r="M14" s="6">
        <f>IF(C14="","",IFERROR(H14/G14,0))</f>
        <v/>
      </c>
      <c r="N14" s="7">
        <f>IF(C14="","",IFERROR((I14/100)/M14,0))</f>
        <v/>
      </c>
      <c r="O14" s="8">
        <f>IF(C14="","",IFERROR(ROUND(G14/N14,0),G14))</f>
        <v/>
      </c>
      <c r="P14" s="9">
        <f>IF(C14="","",IF(I14&gt;=100,"Đã hoàn thành",IF(O14&gt;G14*1.05,"Dự báo vượt ngân sách",IF(L14&lt;-0.1,"Chậm tiến độ",IF(J14&gt;F14,"Quá hạn kết thúc","Trong tầm kiểm soát")))))</f>
        <v/>
      </c>
    </row>
    <row r="15">
      <c r="A15" s="2" t="n"/>
      <c r="B15" s="3" t="n"/>
      <c r="C15" s="3" t="n"/>
      <c r="D15" s="3" t="n"/>
      <c r="E15" s="4" t="n"/>
      <c r="F15" s="4" t="n"/>
      <c r="G15" s="5" t="n"/>
      <c r="H15" s="5" t="n"/>
      <c r="I15" s="2" t="n"/>
      <c r="J15" s="4" t="n"/>
      <c r="K15" s="6">
        <f>IF(C15="","",IFERROR(MIN(1,MAX(0,(J15-E15)/(F15-E15))),0))</f>
        <v/>
      </c>
      <c r="L15" s="6">
        <f>IF(C15="","",I15/100-K15)</f>
        <v/>
      </c>
      <c r="M15" s="6">
        <f>IF(C15="","",IFERROR(H15/G15,0))</f>
        <v/>
      </c>
      <c r="N15" s="7">
        <f>IF(C15="","",IFERROR((I15/100)/M15,0))</f>
        <v/>
      </c>
      <c r="O15" s="8">
        <f>IF(C15="","",IFERROR(ROUND(G15/N15,0),G15))</f>
        <v/>
      </c>
      <c r="P15" s="9">
        <f>IF(C15="","",IF(I15&gt;=100,"Đã hoàn thành",IF(O15&gt;G15*1.05,"Dự báo vượt ngân sách",IF(L15&lt;-0.1,"Chậm tiến độ",IF(J15&gt;F15,"Quá hạn kết thúc","Trong tầm kiểm soát")))))</f>
        <v/>
      </c>
    </row>
    <row r="16">
      <c r="A16" s="2" t="n"/>
      <c r="B16" s="3" t="n"/>
      <c r="C16" s="3" t="n"/>
      <c r="D16" s="3" t="n"/>
      <c r="E16" s="4" t="n"/>
      <c r="F16" s="4" t="n"/>
      <c r="G16" s="5" t="n"/>
      <c r="H16" s="5" t="n"/>
      <c r="I16" s="2" t="n"/>
      <c r="J16" s="4" t="n"/>
      <c r="K16" s="6">
        <f>IF(C16="","",IFERROR(MIN(1,MAX(0,(J16-E16)/(F16-E16))),0))</f>
        <v/>
      </c>
      <c r="L16" s="6">
        <f>IF(C16="","",I16/100-K16)</f>
        <v/>
      </c>
      <c r="M16" s="6">
        <f>IF(C16="","",IFERROR(H16/G16,0))</f>
        <v/>
      </c>
      <c r="N16" s="7">
        <f>IF(C16="","",IFERROR((I16/100)/M16,0))</f>
        <v/>
      </c>
      <c r="O16" s="8">
        <f>IF(C16="","",IFERROR(ROUND(G16/N16,0),G16))</f>
        <v/>
      </c>
      <c r="P16" s="9">
        <f>IF(C16="","",IF(I16&gt;=100,"Đã hoàn thành",IF(O16&gt;G16*1.05,"Dự báo vượt ngân sách",IF(L16&lt;-0.1,"Chậm tiến độ",IF(J16&gt;F16,"Quá hạn kết thúc","Trong tầm kiểm soát")))))</f>
        <v/>
      </c>
    </row>
    <row r="17">
      <c r="A17" s="2" t="n"/>
      <c r="B17" s="3" t="n"/>
      <c r="C17" s="3" t="n"/>
      <c r="D17" s="3" t="n"/>
      <c r="E17" s="4" t="n"/>
      <c r="F17" s="4" t="n"/>
      <c r="G17" s="5" t="n"/>
      <c r="H17" s="5" t="n"/>
      <c r="I17" s="2" t="n"/>
      <c r="J17" s="4" t="n"/>
      <c r="K17" s="6">
        <f>IF(C17="","",IFERROR(MIN(1,MAX(0,(J17-E17)/(F17-E17))),0))</f>
        <v/>
      </c>
      <c r="L17" s="6">
        <f>IF(C17="","",I17/100-K17)</f>
        <v/>
      </c>
      <c r="M17" s="6">
        <f>IF(C17="","",IFERROR(H17/G17,0))</f>
        <v/>
      </c>
      <c r="N17" s="7">
        <f>IF(C17="","",IFERROR((I17/100)/M17,0))</f>
        <v/>
      </c>
      <c r="O17" s="8">
        <f>IF(C17="","",IFERROR(ROUND(G17/N17,0),G17))</f>
        <v/>
      </c>
      <c r="P17" s="9">
        <f>IF(C17="","",IF(I17&gt;=100,"Đã hoàn thành",IF(O17&gt;G17*1.05,"Dự báo vượt ngân sách",IF(L17&lt;-0.1,"Chậm tiến độ",IF(J17&gt;F17,"Quá hạn kết thúc","Trong tầm kiểm soát")))))</f>
        <v/>
      </c>
    </row>
    <row r="18">
      <c r="A18" s="2" t="n"/>
      <c r="B18" s="3" t="n"/>
      <c r="C18" s="3" t="n"/>
      <c r="D18" s="3" t="n"/>
      <c r="E18" s="4" t="n"/>
      <c r="F18" s="4" t="n"/>
      <c r="G18" s="5" t="n"/>
      <c r="H18" s="5" t="n"/>
      <c r="I18" s="2" t="n"/>
      <c r="J18" s="4" t="n"/>
      <c r="K18" s="6">
        <f>IF(C18="","",IFERROR(MIN(1,MAX(0,(J18-E18)/(F18-E18))),0))</f>
        <v/>
      </c>
      <c r="L18" s="6">
        <f>IF(C18="","",I18/100-K18)</f>
        <v/>
      </c>
      <c r="M18" s="6">
        <f>IF(C18="","",IFERROR(H18/G18,0))</f>
        <v/>
      </c>
      <c r="N18" s="7">
        <f>IF(C18="","",IFERROR((I18/100)/M18,0))</f>
        <v/>
      </c>
      <c r="O18" s="8">
        <f>IF(C18="","",IFERROR(ROUND(G18/N18,0),G18))</f>
        <v/>
      </c>
      <c r="P18" s="9">
        <f>IF(C18="","",IF(I18&gt;=100,"Đã hoàn thành",IF(O18&gt;G18*1.05,"Dự báo vượt ngân sách",IF(L18&lt;-0.1,"Chậm tiến độ",IF(J18&gt;F18,"Quá hạn kết thúc","Trong tầm kiểm soát")))))</f>
        <v/>
      </c>
    </row>
    <row r="19">
      <c r="A19" s="2" t="n"/>
      <c r="B19" s="3" t="n"/>
      <c r="C19" s="3" t="n"/>
      <c r="D19" s="3" t="n"/>
      <c r="E19" s="4" t="n"/>
      <c r="F19" s="4" t="n"/>
      <c r="G19" s="5" t="n"/>
      <c r="H19" s="5" t="n"/>
      <c r="I19" s="2" t="n"/>
      <c r="J19" s="4" t="n"/>
      <c r="K19" s="6">
        <f>IF(C19="","",IFERROR(MIN(1,MAX(0,(J19-E19)/(F19-E19))),0))</f>
        <v/>
      </c>
      <c r="L19" s="6">
        <f>IF(C19="","",I19/100-K19)</f>
        <v/>
      </c>
      <c r="M19" s="6">
        <f>IF(C19="","",IFERROR(H19/G19,0))</f>
        <v/>
      </c>
      <c r="N19" s="7">
        <f>IF(C19="","",IFERROR((I19/100)/M19,0))</f>
        <v/>
      </c>
      <c r="O19" s="8">
        <f>IF(C19="","",IFERROR(ROUND(G19/N19,0),G19))</f>
        <v/>
      </c>
      <c r="P19" s="9">
        <f>IF(C19="","",IF(I19&gt;=100,"Đã hoàn thành",IF(O19&gt;G19*1.05,"Dự báo vượt ngân sách",IF(L19&lt;-0.1,"Chậm tiến độ",IF(J19&gt;F19,"Quá hạn kết thúc","Trong tầm kiểm soát")))))</f>
        <v/>
      </c>
    </row>
    <row r="20">
      <c r="A20" s="2" t="n"/>
      <c r="B20" s="3" t="n"/>
      <c r="C20" s="3" t="n"/>
      <c r="D20" s="3" t="n"/>
      <c r="E20" s="4" t="n"/>
      <c r="F20" s="4" t="n"/>
      <c r="G20" s="5" t="n"/>
      <c r="H20" s="5" t="n"/>
      <c r="I20" s="2" t="n"/>
      <c r="J20" s="4" t="n"/>
      <c r="K20" s="6">
        <f>IF(C20="","",IFERROR(MIN(1,MAX(0,(J20-E20)/(F20-E20))),0))</f>
        <v/>
      </c>
      <c r="L20" s="6">
        <f>IF(C20="","",I20/100-K20)</f>
        <v/>
      </c>
      <c r="M20" s="6">
        <f>IF(C20="","",IFERROR(H20/G20,0))</f>
        <v/>
      </c>
      <c r="N20" s="7">
        <f>IF(C20="","",IFERROR((I20/100)/M20,0))</f>
        <v/>
      </c>
      <c r="O20" s="8">
        <f>IF(C20="","",IFERROR(ROUND(G20/N20,0),G20))</f>
        <v/>
      </c>
      <c r="P20" s="9">
        <f>IF(C20="","",IF(I20&gt;=100,"Đã hoàn thành",IF(O20&gt;G20*1.05,"Dự báo vượt ngân sách",IF(L20&lt;-0.1,"Chậm tiến độ",IF(J20&gt;F20,"Quá hạn kết thúc","Trong tầm kiểm soát")))))</f>
        <v/>
      </c>
    </row>
    <row r="21">
      <c r="A21" s="2" t="n"/>
      <c r="B21" s="3" t="n"/>
      <c r="C21" s="3" t="n"/>
      <c r="D21" s="3" t="n"/>
      <c r="E21" s="4" t="n"/>
      <c r="F21" s="4" t="n"/>
      <c r="G21" s="5" t="n"/>
      <c r="H21" s="5" t="n"/>
      <c r="I21" s="2" t="n"/>
      <c r="J21" s="4" t="n"/>
      <c r="K21" s="6">
        <f>IF(C21="","",IFERROR(MIN(1,MAX(0,(J21-E21)/(F21-E21))),0))</f>
        <v/>
      </c>
      <c r="L21" s="6">
        <f>IF(C21="","",I21/100-K21)</f>
        <v/>
      </c>
      <c r="M21" s="6">
        <f>IF(C21="","",IFERROR(H21/G21,0))</f>
        <v/>
      </c>
      <c r="N21" s="7">
        <f>IF(C21="","",IFERROR((I21/100)/M21,0))</f>
        <v/>
      </c>
      <c r="O21" s="8">
        <f>IF(C21="","",IFERROR(ROUND(G21/N21,0),G21))</f>
        <v/>
      </c>
      <c r="P21" s="9">
        <f>IF(C21="","",IF(I21&gt;=100,"Đã hoàn thành",IF(O21&gt;G21*1.05,"Dự báo vượt ngân sách",IF(L21&lt;-0.1,"Chậm tiến độ",IF(J21&gt;F21,"Quá hạn kết thúc","Trong tầm kiểm soát")))))</f>
        <v/>
      </c>
    </row>
    <row r="22">
      <c r="A22" s="2" t="n"/>
      <c r="B22" s="3" t="n"/>
      <c r="C22" s="3" t="n"/>
      <c r="D22" s="3" t="n"/>
      <c r="E22" s="4" t="n"/>
      <c r="F22" s="4" t="n"/>
      <c r="G22" s="5" t="n"/>
      <c r="H22" s="5" t="n"/>
      <c r="I22" s="2" t="n"/>
      <c r="J22" s="4" t="n"/>
      <c r="K22" s="6">
        <f>IF(C22="","",IFERROR(MIN(1,MAX(0,(J22-E22)/(F22-E22))),0))</f>
        <v/>
      </c>
      <c r="L22" s="6">
        <f>IF(C22="","",I22/100-K22)</f>
        <v/>
      </c>
      <c r="M22" s="6">
        <f>IF(C22="","",IFERROR(H22/G22,0))</f>
        <v/>
      </c>
      <c r="N22" s="7">
        <f>IF(C22="","",IFERROR((I22/100)/M22,0))</f>
        <v/>
      </c>
      <c r="O22" s="8">
        <f>IF(C22="","",IFERROR(ROUND(G22/N22,0),G22))</f>
        <v/>
      </c>
      <c r="P22" s="9">
        <f>IF(C22="","",IF(I22&gt;=100,"Đã hoàn thành",IF(O22&gt;G22*1.05,"Dự báo vượt ngân sách",IF(L22&lt;-0.1,"Chậm tiến độ",IF(J22&gt;F22,"Quá hạn kết thúc","Trong tầm kiểm soát")))))</f>
        <v/>
      </c>
    </row>
    <row r="23">
      <c r="A23" s="2" t="n"/>
      <c r="B23" s="3" t="n"/>
      <c r="C23" s="3" t="n"/>
      <c r="D23" s="3" t="n"/>
      <c r="E23" s="4" t="n"/>
      <c r="F23" s="4" t="n"/>
      <c r="G23" s="5" t="n"/>
      <c r="H23" s="5" t="n"/>
      <c r="I23" s="2" t="n"/>
      <c r="J23" s="4" t="n"/>
      <c r="K23" s="6">
        <f>IF(C23="","",IFERROR(MIN(1,MAX(0,(J23-E23)/(F23-E23))),0))</f>
        <v/>
      </c>
      <c r="L23" s="6">
        <f>IF(C23="","",I23/100-K23)</f>
        <v/>
      </c>
      <c r="M23" s="6">
        <f>IF(C23="","",IFERROR(H23/G23,0))</f>
        <v/>
      </c>
      <c r="N23" s="7">
        <f>IF(C23="","",IFERROR((I23/100)/M23,0))</f>
        <v/>
      </c>
      <c r="O23" s="8">
        <f>IF(C23="","",IFERROR(ROUND(G23/N23,0),G23))</f>
        <v/>
      </c>
      <c r="P23" s="9">
        <f>IF(C23="","",IF(I23&gt;=100,"Đã hoàn thành",IF(O23&gt;G23*1.05,"Dự báo vượt ngân sách",IF(L23&lt;-0.1,"Chậm tiến độ",IF(J23&gt;F23,"Quá hạn kết thúc","Trong tầm kiểm soát")))))</f>
        <v/>
      </c>
    </row>
    <row r="24">
      <c r="A24" s="2" t="n"/>
      <c r="B24" s="3" t="n"/>
      <c r="C24" s="3" t="n"/>
      <c r="D24" s="3" t="n"/>
      <c r="E24" s="4" t="n"/>
      <c r="F24" s="4" t="n"/>
      <c r="G24" s="5" t="n"/>
      <c r="H24" s="5" t="n"/>
      <c r="I24" s="2" t="n"/>
      <c r="J24" s="4" t="n"/>
      <c r="K24" s="6">
        <f>IF(C24="","",IFERROR(MIN(1,MAX(0,(J24-E24)/(F24-E24))),0))</f>
        <v/>
      </c>
      <c r="L24" s="6">
        <f>IF(C24="","",I24/100-K24)</f>
        <v/>
      </c>
      <c r="M24" s="6">
        <f>IF(C24="","",IFERROR(H24/G24,0))</f>
        <v/>
      </c>
      <c r="N24" s="7">
        <f>IF(C24="","",IFERROR((I24/100)/M24,0))</f>
        <v/>
      </c>
      <c r="O24" s="8">
        <f>IF(C24="","",IFERROR(ROUND(G24/N24,0),G24))</f>
        <v/>
      </c>
      <c r="P24" s="9">
        <f>IF(C24="","",IF(I24&gt;=100,"Đã hoàn thành",IF(O24&gt;G24*1.05,"Dự báo vượt ngân sách",IF(L24&lt;-0.1,"Chậm tiến độ",IF(J24&gt;F24,"Quá hạn kết thúc","Trong tầm kiểm soát")))))</f>
        <v/>
      </c>
    </row>
    <row r="25">
      <c r="A25" s="2" t="n"/>
      <c r="B25" s="3" t="n"/>
      <c r="C25" s="3" t="n"/>
      <c r="D25" s="3" t="n"/>
      <c r="E25" s="4" t="n"/>
      <c r="F25" s="4" t="n"/>
      <c r="G25" s="5" t="n"/>
      <c r="H25" s="5" t="n"/>
      <c r="I25" s="2" t="n"/>
      <c r="J25" s="4" t="n"/>
      <c r="K25" s="6">
        <f>IF(C25="","",IFERROR(MIN(1,MAX(0,(J25-E25)/(F25-E25))),0))</f>
        <v/>
      </c>
      <c r="L25" s="6">
        <f>IF(C25="","",I25/100-K25)</f>
        <v/>
      </c>
      <c r="M25" s="6">
        <f>IF(C25="","",IFERROR(H25/G25,0))</f>
        <v/>
      </c>
      <c r="N25" s="7">
        <f>IF(C25="","",IFERROR((I25/100)/M25,0))</f>
        <v/>
      </c>
      <c r="O25" s="8">
        <f>IF(C25="","",IFERROR(ROUND(G25/N25,0),G25))</f>
        <v/>
      </c>
      <c r="P25" s="9">
        <f>IF(C25="","",IF(I25&gt;=100,"Đã hoàn thành",IF(O25&gt;G25*1.05,"Dự báo vượt ngân sách",IF(L25&lt;-0.1,"Chậm tiến độ",IF(J25&gt;F25,"Quá hạn kết thúc","Trong tầm kiểm soát")))))</f>
        <v/>
      </c>
    </row>
    <row r="26">
      <c r="A26" s="2" t="n"/>
      <c r="B26" s="3" t="n"/>
      <c r="C26" s="3" t="n"/>
      <c r="D26" s="3" t="n"/>
      <c r="E26" s="4" t="n"/>
      <c r="F26" s="4" t="n"/>
      <c r="G26" s="5" t="n"/>
      <c r="H26" s="5" t="n"/>
      <c r="I26" s="2" t="n"/>
      <c r="J26" s="4" t="n"/>
      <c r="K26" s="6">
        <f>IF(C26="","",IFERROR(MIN(1,MAX(0,(J26-E26)/(F26-E26))),0))</f>
        <v/>
      </c>
      <c r="L26" s="6">
        <f>IF(C26="","",I26/100-K26)</f>
        <v/>
      </c>
      <c r="M26" s="6">
        <f>IF(C26="","",IFERROR(H26/G26,0))</f>
        <v/>
      </c>
      <c r="N26" s="7">
        <f>IF(C26="","",IFERROR((I26/100)/M26,0))</f>
        <v/>
      </c>
      <c r="O26" s="8">
        <f>IF(C26="","",IFERROR(ROUND(G26/N26,0),G26))</f>
        <v/>
      </c>
      <c r="P26" s="9">
        <f>IF(C26="","",IF(I26&gt;=100,"Đã hoàn thành",IF(O26&gt;G26*1.05,"Dự báo vượt ngân sách",IF(L26&lt;-0.1,"Chậm tiến độ",IF(J26&gt;F26,"Quá hạn kết thúc","Trong tầm kiểm soát")))))</f>
        <v/>
      </c>
    </row>
    <row r="27">
      <c r="A27" s="2" t="n"/>
      <c r="B27" s="3" t="n"/>
      <c r="C27" s="3" t="n"/>
      <c r="D27" s="3" t="n"/>
      <c r="E27" s="4" t="n"/>
      <c r="F27" s="4" t="n"/>
      <c r="G27" s="5" t="n"/>
      <c r="H27" s="5" t="n"/>
      <c r="I27" s="2" t="n"/>
      <c r="J27" s="4" t="n"/>
      <c r="K27" s="6">
        <f>IF(C27="","",IFERROR(MIN(1,MAX(0,(J27-E27)/(F27-E27))),0))</f>
        <v/>
      </c>
      <c r="L27" s="6">
        <f>IF(C27="","",I27/100-K27)</f>
        <v/>
      </c>
      <c r="M27" s="6">
        <f>IF(C27="","",IFERROR(H27/G27,0))</f>
        <v/>
      </c>
      <c r="N27" s="7">
        <f>IF(C27="","",IFERROR((I27/100)/M27,0))</f>
        <v/>
      </c>
      <c r="O27" s="8">
        <f>IF(C27="","",IFERROR(ROUND(G27/N27,0),G27))</f>
        <v/>
      </c>
      <c r="P27" s="9">
        <f>IF(C27="","",IF(I27&gt;=100,"Đã hoàn thành",IF(O27&gt;G27*1.05,"Dự báo vượt ngân sách",IF(L27&lt;-0.1,"Chậm tiến độ",IF(J27&gt;F27,"Quá hạn kết thúc","Trong tầm kiểm soát")))))</f>
        <v/>
      </c>
    </row>
    <row r="28">
      <c r="A28" s="2" t="n"/>
      <c r="B28" s="3" t="n"/>
      <c r="C28" s="3" t="n"/>
      <c r="D28" s="3" t="n"/>
      <c r="E28" s="4" t="n"/>
      <c r="F28" s="4" t="n"/>
      <c r="G28" s="5" t="n"/>
      <c r="H28" s="5" t="n"/>
      <c r="I28" s="2" t="n"/>
      <c r="J28" s="4" t="n"/>
      <c r="K28" s="6">
        <f>IF(C28="","",IFERROR(MIN(1,MAX(0,(J28-E28)/(F28-E28))),0))</f>
        <v/>
      </c>
      <c r="L28" s="6">
        <f>IF(C28="","",I28/100-K28)</f>
        <v/>
      </c>
      <c r="M28" s="6">
        <f>IF(C28="","",IFERROR(H28/G28,0))</f>
        <v/>
      </c>
      <c r="N28" s="7">
        <f>IF(C28="","",IFERROR((I28/100)/M28,0))</f>
        <v/>
      </c>
      <c r="O28" s="8">
        <f>IF(C28="","",IFERROR(ROUND(G28/N28,0),G28))</f>
        <v/>
      </c>
      <c r="P28" s="9">
        <f>IF(C28="","",IF(I28&gt;=100,"Đã hoàn thành",IF(O28&gt;G28*1.05,"Dự báo vượt ngân sách",IF(L28&lt;-0.1,"Chậm tiến độ",IF(J28&gt;F28,"Quá hạn kết thúc","Trong tầm kiểm soát")))))</f>
        <v/>
      </c>
    </row>
    <row r="29">
      <c r="A29" s="2" t="n"/>
      <c r="B29" s="3" t="n"/>
      <c r="C29" s="3" t="n"/>
      <c r="D29" s="3" t="n"/>
      <c r="E29" s="4" t="n"/>
      <c r="F29" s="4" t="n"/>
      <c r="G29" s="5" t="n"/>
      <c r="H29" s="5" t="n"/>
      <c r="I29" s="2" t="n"/>
      <c r="J29" s="4" t="n"/>
      <c r="K29" s="6">
        <f>IF(C29="","",IFERROR(MIN(1,MAX(0,(J29-E29)/(F29-E29))),0))</f>
        <v/>
      </c>
      <c r="L29" s="6">
        <f>IF(C29="","",I29/100-K29)</f>
        <v/>
      </c>
      <c r="M29" s="6">
        <f>IF(C29="","",IFERROR(H29/G29,0))</f>
        <v/>
      </c>
      <c r="N29" s="7">
        <f>IF(C29="","",IFERROR((I29/100)/M29,0))</f>
        <v/>
      </c>
      <c r="O29" s="8">
        <f>IF(C29="","",IFERROR(ROUND(G29/N29,0),G29))</f>
        <v/>
      </c>
      <c r="P29" s="9">
        <f>IF(C29="","",IF(I29&gt;=100,"Đã hoàn thành",IF(O29&gt;G29*1.05,"Dự báo vượt ngân sách",IF(L29&lt;-0.1,"Chậm tiến độ",IF(J29&gt;F29,"Quá hạn kết thúc","Trong tầm kiểm soát")))))</f>
        <v/>
      </c>
    </row>
    <row r="30">
      <c r="A30" s="2" t="n"/>
      <c r="B30" s="3" t="n"/>
      <c r="C30" s="3" t="n"/>
      <c r="D30" s="3" t="n"/>
      <c r="E30" s="4" t="n"/>
      <c r="F30" s="4" t="n"/>
      <c r="G30" s="5" t="n"/>
      <c r="H30" s="5" t="n"/>
      <c r="I30" s="2" t="n"/>
      <c r="J30" s="4" t="n"/>
      <c r="K30" s="6">
        <f>IF(C30="","",IFERROR(MIN(1,MAX(0,(J30-E30)/(F30-E30))),0))</f>
        <v/>
      </c>
      <c r="L30" s="6">
        <f>IF(C30="","",I30/100-K30)</f>
        <v/>
      </c>
      <c r="M30" s="6">
        <f>IF(C30="","",IFERROR(H30/G30,0))</f>
        <v/>
      </c>
      <c r="N30" s="7">
        <f>IF(C30="","",IFERROR((I30/100)/M30,0))</f>
        <v/>
      </c>
      <c r="O30" s="8">
        <f>IF(C30="","",IFERROR(ROUND(G30/N30,0),G30))</f>
        <v/>
      </c>
      <c r="P30" s="9">
        <f>IF(C30="","",IF(I30&gt;=100,"Đã hoàn thành",IF(O30&gt;G30*1.05,"Dự báo vượt ngân sách",IF(L30&lt;-0.1,"Chậm tiến độ",IF(J30&gt;F30,"Quá hạn kết thúc","Trong tầm kiểm soát")))))</f>
        <v/>
      </c>
    </row>
    <row r="31">
      <c r="A31" s="2" t="n"/>
      <c r="B31" s="3" t="n"/>
      <c r="C31" s="3" t="n"/>
      <c r="D31" s="3" t="n"/>
      <c r="E31" s="4" t="n"/>
      <c r="F31" s="4" t="n"/>
      <c r="G31" s="5" t="n"/>
      <c r="H31" s="5" t="n"/>
      <c r="I31" s="2" t="n"/>
      <c r="J31" s="4" t="n"/>
      <c r="K31" s="6">
        <f>IF(C31="","",IFERROR(MIN(1,MAX(0,(J31-E31)/(F31-E31))),0))</f>
        <v/>
      </c>
      <c r="L31" s="6">
        <f>IF(C31="","",I31/100-K31)</f>
        <v/>
      </c>
      <c r="M31" s="6">
        <f>IF(C31="","",IFERROR(H31/G31,0))</f>
        <v/>
      </c>
      <c r="N31" s="7">
        <f>IF(C31="","",IFERROR((I31/100)/M31,0))</f>
        <v/>
      </c>
      <c r="O31" s="8">
        <f>IF(C31="","",IFERROR(ROUND(G31/N31,0),G31))</f>
        <v/>
      </c>
      <c r="P31" s="9">
        <f>IF(C31="","",IF(I31&gt;=100,"Đã hoàn thành",IF(O31&gt;G31*1.05,"Dự báo vượt ngân sách",IF(L31&lt;-0.1,"Chậm tiến độ",IF(J31&gt;F31,"Quá hạn kết thúc","Trong tầm kiểm soát")))))</f>
        <v/>
      </c>
    </row>
    <row r="32">
      <c r="A32" s="2" t="n"/>
      <c r="B32" s="3" t="n"/>
      <c r="C32" s="3" t="n"/>
      <c r="D32" s="3" t="n"/>
      <c r="E32" s="4" t="n"/>
      <c r="F32" s="4" t="n"/>
      <c r="G32" s="5" t="n"/>
      <c r="H32" s="5" t="n"/>
      <c r="I32" s="2" t="n"/>
      <c r="J32" s="4" t="n"/>
      <c r="K32" s="6">
        <f>IF(C32="","",IFERROR(MIN(1,MAX(0,(J32-E32)/(F32-E32))),0))</f>
        <v/>
      </c>
      <c r="L32" s="6">
        <f>IF(C32="","",I32/100-K32)</f>
        <v/>
      </c>
      <c r="M32" s="6">
        <f>IF(C32="","",IFERROR(H32/G32,0))</f>
        <v/>
      </c>
      <c r="N32" s="7">
        <f>IF(C32="","",IFERROR((I32/100)/M32,0))</f>
        <v/>
      </c>
      <c r="O32" s="8">
        <f>IF(C32="","",IFERROR(ROUND(G32/N32,0),G32))</f>
        <v/>
      </c>
      <c r="P32" s="9">
        <f>IF(C32="","",IF(I32&gt;=100,"Đã hoàn thành",IF(O32&gt;G32*1.05,"Dự báo vượt ngân sách",IF(L32&lt;-0.1,"Chậm tiến độ",IF(J32&gt;F32,"Quá hạn kết thúc","Trong tầm kiểm soát")))))</f>
        <v/>
      </c>
    </row>
  </sheetData>
  <autoFilter ref="A1:P32"/>
  <dataValidations count="3">
    <dataValidation sqref="G2:G32" showDropDown="0" showInputMessage="0" showErrorMessage="0" allowBlank="1" errorTitle="Sai định dạng" error="Giá trị không hợp lệ cho cột này." type="decimal" operator="between">
      <formula1>0</formula1>
      <formula2>100000000000</formula2>
    </dataValidation>
    <dataValidation sqref="H2:H32" showDropDown="0" showInputMessage="0" showErrorMessage="0" allowBlank="1" errorTitle="Sai định dạng" error="Giá trị không hợp lệ cho cột này." type="decimal" operator="between">
      <formula1>0</formula1>
      <formula2>100000000000</formula2>
    </dataValidation>
    <dataValidation sqref="I2:I32" showDropDown="0" showInputMessage="0" showErrorMessage="0" allowBlank="1" errorTitle="Sai định dạng" error="Giá trị không hợp lệ cho cột này."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8"/>
  <sheetViews>
    <sheetView workbookViewId="0">
      <selection activeCell="A1" sqref="A1"/>
    </sheetView>
  </sheetViews>
  <sheetFormatPr baseColWidth="8" defaultRowHeight="15"/>
  <cols>
    <col width="4" customWidth="1" min="1" max="1"/>
    <col width="100" customWidth="1" min="2" max="2"/>
  </cols>
  <sheetData>
    <row r="1">
      <c r="B1" s="10" t="inlineStr">
        <is>
          <t>Mẫu Excel quản lý dự án (đối chiếu tiến độ với mức giải ngân)</t>
        </is>
      </c>
    </row>
    <row r="2">
      <c r="B2" s="11" t="inlineStr"/>
    </row>
    <row r="3">
      <c r="B3" s="12" t="inlineStr">
        <is>
          <t>CÁCH DÙNG</t>
        </is>
      </c>
    </row>
    <row r="4">
      <c r="B4" s="13" t="inlineStr">
        <is>
          <t>1. Khai dự án với hai mốc thời gian và ngân sách duyệt</t>
        </is>
      </c>
    </row>
    <row r="5">
      <c r="B5" s="11" t="inlineStr">
        <is>
          <t xml:space="preserve">   Ngân sách nhập ở đây là ngân sách đã được duyệt, giữ nguyên suốt dự án. Muốn điều chỉnh thì ghi thành một dòng mới với ghi chú lý do, đừng sửa đè lên số cũ — số cũ chính là căn cứ để biết dự án đã trượt bao nhiêu.</t>
        </is>
      </c>
    </row>
    <row r="6">
      <c r="B6" s="13" t="inlineStr">
        <is>
          <t>2. Cập nhật phần trăm hoàn thành và chi phí đã dùng</t>
        </is>
      </c>
    </row>
    <row r="7">
      <c r="B7" s="11" t="inlineStr">
        <is>
          <t xml:space="preserve">   Phần trăm hoàn thành nên tính từ khối lượng công việc đã bàn giao, không phải từ cảm nhận. Chi phí đã dùng gồm cả khoản đã chi và khoản đã cam kết nhưng chưa trả — bỏ sót phần cam kết là cách phổ biến nhất khiến dự án nhìn có vẻ vẫn trong ngân sách cho tới tận cuối.</t>
        </is>
      </c>
    </row>
    <row r="8">
      <c r="B8" s="13" t="inlineStr">
        <is>
          <t>3. Đặt ngày chốt sổ cho cả bảng</t>
        </is>
      </c>
    </row>
    <row r="9">
      <c r="B9" s="11" t="inlineStr">
        <is>
          <t xml:space="preserve">   Điền cùng một ngày cho mọi dòng, thường là ngày họp ban dự án. Mọi con số tiến độ kỳ vọng và ngày còn lại đều tính từ mốc này, nên bản in ra giữ nguyên ý nghĩa khi đọc lại sau.</t>
        </is>
      </c>
    </row>
    <row r="10">
      <c r="B10" s="13" t="inlineStr">
        <is>
          <t>4. Đọc chỉ số hiệu quả chi phí trước, ước tính cuối kỳ sau</t>
        </is>
      </c>
    </row>
    <row r="11">
      <c r="B11" s="11" t="inlineStr">
        <is>
          <t xml:space="preserve">   Chỉ số dưới 1 là tiêu nhanh hơn làm. Khi đó đọc tiếp cột ước tính chi phí hoàn thành: nếu con số đó vượt ngân sách duyệt, dự án sẽ vượt trừ khi có gì đó thay đổi, và biết trước điều này từ giữa chặng là toàn bộ giá trị của bảng.</t>
        </is>
      </c>
    </row>
    <row r="12">
      <c r="B12" s="11" t="inlineStr"/>
    </row>
    <row r="13">
      <c r="B13" s="12" t="inlineStr">
        <is>
          <t>CÔNG THỨC TRONG FILE</t>
        </is>
      </c>
    </row>
    <row r="14">
      <c r="B14" s="13" t="inlineStr">
        <is>
          <t>Tiến độ kỳ vọng  —  =IF(C2="","",IFERROR(MIN(1,MAX(0,(J2-E2)/(F2-E2))),0))</t>
        </is>
      </c>
    </row>
    <row r="15">
      <c r="B15" s="11" t="inlineStr">
        <is>
          <t xml:space="preserve">   Phần thời gian đã trôi qua của dự án. MAX(0;…) giữ dự án chưa khởi động ở mức 0%, MIN(1;…) chặn dự án quá hạn ở 100%. Bọc IFERROR cho trường hợp ngày bắt đầu trùng hạn kết thúc, khi đó mẫu số bằng 0.</t>
        </is>
      </c>
    </row>
    <row r="16">
      <c r="B16" s="13" t="inlineStr">
        <is>
          <t>Lệch tiến độ  —  =IF(C2="","",I2/100-K2)</t>
        </is>
      </c>
    </row>
    <row r="17">
      <c r="B17" s="11" t="inlineStr">
        <is>
          <t xml:space="preserve">   Thực tế trừ kỳ vọng. Số âm là chậm hơn thời gian, và độ lớn cho biết chậm bao nhiêu phần khối lượng — dễ hành động hơn nhiều so với câu chậm mấy ngày, vì nó nói thẳng còn thiếu bao nhiêu việc.</t>
        </is>
      </c>
    </row>
    <row r="18">
      <c r="B18" s="13" t="inlineStr">
        <is>
          <t>Đã giải ngân  —  =IF(C2="","",IFERROR(H2/G2,0))</t>
        </is>
      </c>
    </row>
    <row r="19">
      <c r="B19" s="11" t="inlineStr">
        <is>
          <t xml:space="preserve">   Chi phí đã dùng chia ngân sách duyệt. Một mình con số này chưa nói được gì: giải ngân 60% là tốt nếu đã làm xong 70% việc, và là xấu nếu mới xong 40%. Cột kế bên chính là chỗ ghép hai vế đó lại.</t>
        </is>
      </c>
    </row>
    <row r="20">
      <c r="B20" s="13" t="inlineStr">
        <is>
          <t>Hiệu quả chi phí  —  =IF(C2="","",IFERROR((I2/100)/M2,0))</t>
        </is>
      </c>
    </row>
    <row r="21">
      <c r="B21" s="11" t="inlineStr">
        <is>
          <t xml:space="preserve">   Phần việc đã làm chia phần tiền đã tiêu. Bằng 1 là cân, dưới 1 là tiêu nhanh hơn làm. Đây là chỉ số duy nhất trong bảng nhìn được cả hai chiều tiến độ và chi phí cùng lúc, nên đọc nó trước rồi mới đọc các cột còn lại.</t>
        </is>
      </c>
    </row>
    <row r="22">
      <c r="B22" s="13" t="inlineStr">
        <is>
          <t>Ước tính chi phí hoàn thành  —  =IF(C2="","",IFERROR(ROUND(G2/N2,0),G2))</t>
        </is>
      </c>
    </row>
    <row r="23">
      <c r="B23" s="11" t="inlineStr">
        <is>
          <t xml:space="preserve">   Ngân sách chia chỉ số hiệu quả chi phí, tức giả định phần còn lại tiêu với đúng nhịp hiện tại. Vượt ngân sách duyệt ở cột này nghĩa là dự án sẽ vượt nếu không có gì thay đổi. Dòng chưa tiêu đồng nào có chỉ số bằng 0, IFERROR trả về đúng ngân sách gốc thay vì lỗi chia cho 0.</t>
        </is>
      </c>
    </row>
    <row r="24">
      <c r="B24" s="13" t="inlineStr">
        <is>
          <t>Cảnh báo  —  =IF(C2="","",IF(I2&gt;=100,"Đã hoàn thành",IF(O2&gt;G2*1.05,"Dự báo vượt ngân sách",IF(L2&lt;-0.1,"Chậm tiến độ",IF(J2&gt;F2,"Quá hạn kết thúc","Trong tầm kiểm soát")))))</t>
        </is>
      </c>
    </row>
    <row r="25">
      <c r="B25" s="11" t="inlineStr">
        <is>
          <t xml:space="preserve">   Rủi ro tiền được báo trước rủi ro thời gian vì tiền đã tiêu thì không lấy lại được, còn tiến độ chậm vẫn cứu được bằng nguồn lực. Biên độ 5% là khoảng bỏ qua, dưới mức đó thì chênh lệch nằm trong sai số của việc tự báo phần trăm hoàn thành.</t>
        </is>
      </c>
    </row>
    <row r="26">
      <c r="B26" s="11" t="inlineStr"/>
    </row>
    <row r="27">
      <c r="B27" s="13" t="inlineStr">
        <is>
          <t>Bản cập nhật mới nhất và hướng dẫn chi tiết:</t>
        </is>
      </c>
    </row>
    <row r="28">
      <c r="B28" s="14" t="inlineStr">
        <is>
          <t>https://excel.nguyenvietloc.com/mau-excel/quan-ly-cong-viec/bang-theo-doi-du-an</t>
        </is>
      </c>
    </row>
  </sheetData>
  <hyperlinks>
    <hyperlink xmlns:r="http://schemas.openxmlformats.org/officeDocument/2006/relationships" ref="B28"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