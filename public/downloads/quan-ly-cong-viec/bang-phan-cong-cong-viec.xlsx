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công công việc" sheetId="1" state="visible" r:id="rId1"/>
    <sheet name="Hướng dẫn" sheetId="2" state="visible" r:id="rId2"/>
  </sheets>
  <definedNames>
    <definedName name="_xlnm._FilterDatabase" localSheetId="0" hidden="1">'Phân công công việc'!$A$1:$N$37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"/>
    <numFmt numFmtId="165" formatCode="yyyy-mm-dd"/>
    <numFmt numFmtId="166" formatCode="dd/mm/yyyy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  <font>
      <color rgb="001D4ED8"/>
      <u val="single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49" fontId="0" fillId="0" borderId="1" pivotButton="0" quotePrefix="0" xfId="0"/>
    <xf numFmtId="166" fontId="0" fillId="0" borderId="1" pivotButton="0" quotePrefix="0" xfId="0"/>
    <xf numFmtId="164" fontId="0" fillId="3" borderId="1" pivotButton="0" quotePrefix="0" xfId="0"/>
    <xf numFmtId="49" fontId="0" fillId="3" borderId="1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excel.nguyenvietloc.com/mau-excel/quan-ly-cong-viec/bang-phan-cong-cong-viec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0" customWidth="1" min="3" max="3"/>
    <col width="18" customWidth="1" min="4" max="4"/>
    <col width="16" customWidth="1" min="5" max="5"/>
    <col width="34" customWidth="1" min="6" max="6"/>
    <col width="12" customWidth="1" min="7" max="7"/>
    <col width="13" customWidth="1" min="8" max="8"/>
    <col width="12" customWidth="1" min="9" max="9"/>
    <col width="14" customWidth="1" min="10" max="10"/>
    <col width="12" customWidth="1" min="11" max="11"/>
    <col width="13" customWidth="1" min="12" max="12"/>
    <col width="30" customWidth="1" min="13" max="13"/>
    <col width="24" customWidth="1" min="14" max="14"/>
  </cols>
  <sheetData>
    <row r="1" ht="32" customHeight="1">
      <c r="A1" s="1" t="inlineStr">
        <is>
          <t>STT</t>
        </is>
      </c>
      <c r="B1" s="1" t="inlineStr">
        <is>
          <t>Công việc</t>
        </is>
      </c>
      <c r="C1" s="1" t="inlineStr">
        <is>
          <t>Người thực hiện</t>
        </is>
      </c>
      <c r="D1" s="1" t="inlineStr">
        <is>
          <t>Người duyệt</t>
        </is>
      </c>
      <c r="E1" s="1" t="inlineStr">
        <is>
          <t>Bộ phận</t>
        </is>
      </c>
      <c r="F1" s="1" t="inlineStr">
        <is>
          <t>Tiêu chí nghiệm thu</t>
        </is>
      </c>
      <c r="G1" s="1" t="inlineStr">
        <is>
          <t>Ngày giao</t>
        </is>
      </c>
      <c r="H1" s="1" t="inlineStr">
        <is>
          <t>Hạn hoàn thành</t>
        </is>
      </c>
      <c r="I1" s="1" t="inlineStr">
        <is>
          <t>Độ ưu tiên</t>
        </is>
      </c>
      <c r="J1" s="1" t="inlineStr">
        <is>
          <t>Trạng thái</t>
        </is>
      </c>
      <c r="K1" s="1" t="inlineStr">
        <is>
          <t>Ngày chốt sổ</t>
        </is>
      </c>
      <c r="L1" s="1" t="inlineStr">
        <is>
          <t>Số ngày còn lại</t>
        </is>
      </c>
      <c r="M1" s="1" t="inlineStr">
        <is>
          <t>Kiểm tra lệnh giao việc</t>
        </is>
      </c>
      <c r="N1" s="1" t="inlineStr">
        <is>
          <t>Tình trạng</t>
        </is>
      </c>
    </row>
    <row r="2">
      <c r="A2" s="2" t="n">
        <v>1</v>
      </c>
      <c r="B2" s="3" t="inlineStr">
        <is>
          <t>Soạn bộ hợp đồng mẫu cho nhóm khách hàng doanh nghiệp</t>
        </is>
      </c>
      <c r="C2" s="3" t="inlineStr">
        <is>
          <t>Nguyễn Văn Minh</t>
        </is>
      </c>
      <c r="D2" s="3" t="inlineStr">
        <is>
          <t>Ban giám đốc</t>
        </is>
      </c>
      <c r="E2" s="3" t="inlineStr">
        <is>
          <t>Kinh doanh</t>
        </is>
      </c>
      <c r="F2" s="3" t="inlineStr">
        <is>
          <t>Ba mẫu hợp đồng đã qua rà soát pháp lý</t>
        </is>
      </c>
      <c r="G2" s="4" t="n">
        <v>46209</v>
      </c>
      <c r="H2" s="4" t="n">
        <v>46234</v>
      </c>
      <c r="I2" s="3" t="inlineStr">
        <is>
          <t>Cao</t>
        </is>
      </c>
      <c r="J2" s="3" t="inlineStr">
        <is>
          <t>Đang làm</t>
        </is>
      </c>
      <c r="K2" s="4" t="n">
        <v>46227</v>
      </c>
      <c r="L2" s="5">
        <f>IF(OR(B2="",H2=""),"",H2-K2)</f>
        <v/>
      </c>
      <c r="M2" s="6">
        <f>IF(B2="","",IF(C2="","Chưa có người thực hiện",IF(H2="","Chưa có hạn hoàn thành",IF(F2="","Chưa có tiêu chí nghiệm thu","Đủ điều kiện giao"))))</f>
        <v/>
      </c>
      <c r="N2" s="6">
        <f>IF(B2="","",IF(J2="Hoàn thành","Đã xong",IF(J2="Chưa nhận","Chưa ai nhận việc",IF(L2&lt;0,"Trễ hạn",IF(L2&lt;=2,"Sắp tới hạn","Đang trong hạn")))))</f>
        <v/>
      </c>
    </row>
    <row r="3">
      <c r="A3" s="2" t="n">
        <v>2</v>
      </c>
      <c r="B3" s="3" t="inlineStr">
        <is>
          <t>Cập nhật bảng giá bán lẻ trên hệ thống</t>
        </is>
      </c>
      <c r="C3" s="3" t="inlineStr">
        <is>
          <t>Lê Quốc Bảo</t>
        </is>
      </c>
      <c r="D3" s="3" t="inlineStr">
        <is>
          <t>Nguyễn Văn Minh</t>
        </is>
      </c>
      <c r="E3" s="3" t="inlineStr">
        <is>
          <t>Kinh doanh</t>
        </is>
      </c>
      <c r="F3" s="3" t="inlineStr">
        <is>
          <t>Toàn bộ mã hàng hiển thị đúng giá mới</t>
        </is>
      </c>
      <c r="G3" s="4" t="n">
        <v>46221</v>
      </c>
      <c r="H3" s="4" t="n">
        <v>46228</v>
      </c>
      <c r="I3" s="3" t="inlineStr">
        <is>
          <t>Cao</t>
        </is>
      </c>
      <c r="J3" s="3" t="inlineStr">
        <is>
          <t>Đã nhận</t>
        </is>
      </c>
      <c r="K3" s="4" t="n">
        <v>46227</v>
      </c>
      <c r="L3" s="5">
        <f>IF(OR(B3="",H3=""),"",H3-K3)</f>
        <v/>
      </c>
      <c r="M3" s="6">
        <f>IF(B3="","",IF(C3="","Chưa có người thực hiện",IF(H3="","Chưa có hạn hoàn thành",IF(F3="","Chưa có tiêu chí nghiệm thu","Đủ điều kiện giao"))))</f>
        <v/>
      </c>
      <c r="N3" s="6">
        <f>IF(B3="","",IF(J3="Hoàn thành","Đã xong",IF(J3="Chưa nhận","Chưa ai nhận việc",IF(L3&lt;0,"Trễ hạn",IF(L3&lt;=2,"Sắp tới hạn","Đang trong hạn")))))</f>
        <v/>
      </c>
    </row>
    <row r="4">
      <c r="A4" s="2" t="n">
        <v>3</v>
      </c>
      <c r="B4" s="3" t="inlineStr">
        <is>
          <t>Rà soát lại quy trình xử lý hàng trả về</t>
        </is>
      </c>
      <c r="C4" s="3" t="inlineStr"/>
      <c r="D4" s="3" t="inlineStr">
        <is>
          <t>Trần Thu Hà</t>
        </is>
      </c>
      <c r="E4" s="3" t="inlineStr">
        <is>
          <t>Kho vận</t>
        </is>
      </c>
      <c r="F4" s="3" t="inlineStr">
        <is>
          <t>Quy trình mới đã ban hành và phổ biến</t>
        </is>
      </c>
      <c r="G4" s="4" t="n">
        <v>46218</v>
      </c>
      <c r="H4" s="4" t="n">
        <v>46244</v>
      </c>
      <c r="I4" s="3" t="inlineStr">
        <is>
          <t>Trung bình</t>
        </is>
      </c>
      <c r="J4" s="3" t="inlineStr">
        <is>
          <t>Chưa nhận</t>
        </is>
      </c>
      <c r="K4" s="4" t="n">
        <v>46227</v>
      </c>
      <c r="L4" s="5">
        <f>IF(OR(B4="",H4=""),"",H4-K4)</f>
        <v/>
      </c>
      <c r="M4" s="6">
        <f>IF(B4="","",IF(C4="","Chưa có người thực hiện",IF(H4="","Chưa có hạn hoàn thành",IF(F4="","Chưa có tiêu chí nghiệm thu","Đủ điều kiện giao"))))</f>
        <v/>
      </c>
      <c r="N4" s="6">
        <f>IF(B4="","",IF(J4="Hoàn thành","Đã xong",IF(J4="Chưa nhận","Chưa ai nhận việc",IF(L4&lt;0,"Trễ hạn",IF(L4&lt;=2,"Sắp tới hạn","Đang trong hạn")))))</f>
        <v/>
      </c>
    </row>
    <row r="5">
      <c r="A5" s="2" t="n">
        <v>4</v>
      </c>
      <c r="B5" s="3" t="inlineStr">
        <is>
          <t>Cải thiện thời gian đóng gói đơn hàng</t>
        </is>
      </c>
      <c r="C5" s="3" t="inlineStr">
        <is>
          <t>Đỗ Hoàng Nam</t>
        </is>
      </c>
      <c r="D5" s="3" t="inlineStr">
        <is>
          <t>Trần Thu Hà</t>
        </is>
      </c>
      <c r="E5" s="3" t="inlineStr">
        <is>
          <t>Kho vận</t>
        </is>
      </c>
      <c r="F5" s="3" t="inlineStr"/>
      <c r="G5" s="4" t="n">
        <v>46213</v>
      </c>
      <c r="H5" s="4" t="n">
        <v>46249</v>
      </c>
      <c r="I5" s="3" t="inlineStr">
        <is>
          <t>Trung bình</t>
        </is>
      </c>
      <c r="J5" s="3" t="inlineStr">
        <is>
          <t>Đang làm</t>
        </is>
      </c>
      <c r="K5" s="4" t="n">
        <v>46227</v>
      </c>
      <c r="L5" s="5">
        <f>IF(OR(B5="",H5=""),"",H5-K5)</f>
        <v/>
      </c>
      <c r="M5" s="6">
        <f>IF(B5="","",IF(C5="","Chưa có người thực hiện",IF(H5="","Chưa có hạn hoàn thành",IF(F5="","Chưa có tiêu chí nghiệm thu","Đủ điều kiện giao"))))</f>
        <v/>
      </c>
      <c r="N5" s="6">
        <f>IF(B5="","",IF(J5="Hoàn thành","Đã xong",IF(J5="Chưa nhận","Chưa ai nhận việc",IF(L5&lt;0,"Trễ hạn",IF(L5&lt;=2,"Sắp tới hạn","Đang trong hạn")))))</f>
        <v/>
      </c>
    </row>
    <row r="6">
      <c r="A6" s="2" t="n">
        <v>5</v>
      </c>
      <c r="B6" s="3" t="inlineStr">
        <is>
          <t>Lập hồ sơ đăng ký nhãn hiệu cho dòng sản phẩm mới</t>
        </is>
      </c>
      <c r="C6" s="3" t="inlineStr">
        <is>
          <t>Phạm Thị Lan</t>
        </is>
      </c>
      <c r="D6" s="3" t="inlineStr">
        <is>
          <t>Ban giám đốc</t>
        </is>
      </c>
      <c r="E6" s="3" t="inlineStr">
        <is>
          <t>Hành chính nhân sự</t>
        </is>
      </c>
      <c r="F6" s="3" t="inlineStr">
        <is>
          <t>Hồ sơ đã nộp và có giấy biên nhận</t>
        </is>
      </c>
      <c r="G6" s="4" t="n">
        <v>46193</v>
      </c>
      <c r="H6" s="4" t="n">
        <v>46223</v>
      </c>
      <c r="I6" s="3" t="inlineStr">
        <is>
          <t>Cao</t>
        </is>
      </c>
      <c r="J6" s="3" t="inlineStr">
        <is>
          <t>Đang làm</t>
        </is>
      </c>
      <c r="K6" s="4" t="n">
        <v>46227</v>
      </c>
      <c r="L6" s="5">
        <f>IF(OR(B6="",H6=""),"",H6-K6)</f>
        <v/>
      </c>
      <c r="M6" s="6">
        <f>IF(B6="","",IF(C6="","Chưa có người thực hiện",IF(H6="","Chưa có hạn hoàn thành",IF(F6="","Chưa có tiêu chí nghiệm thu","Đủ điều kiện giao"))))</f>
        <v/>
      </c>
      <c r="N6" s="6">
        <f>IF(B6="","",IF(J6="Hoàn thành","Đã xong",IF(J6="Chưa nhận","Chưa ai nhận việc",IF(L6&lt;0,"Trễ hạn",IF(L6&lt;=2,"Sắp tới hạn","Đang trong hạn")))))</f>
        <v/>
      </c>
    </row>
    <row r="7">
      <c r="A7" s="2" t="n">
        <v>6</v>
      </c>
      <c r="B7" s="3" t="inlineStr">
        <is>
          <t>Tổng hợp phản hồi khách hàng quý II</t>
        </is>
      </c>
      <c r="C7" s="3" t="inlineStr">
        <is>
          <t>Vũ Minh Châu</t>
        </is>
      </c>
      <c r="D7" s="3" t="inlineStr">
        <is>
          <t>Lê Quốc Bảo</t>
        </is>
      </c>
      <c r="E7" s="3" t="inlineStr">
        <is>
          <t>Marketing</t>
        </is>
      </c>
      <c r="F7" s="3" t="inlineStr">
        <is>
          <t>Báo cáo tổng hợp đã gửi ban giám đốc</t>
        </is>
      </c>
      <c r="G7" s="4" t="n">
        <v>46204</v>
      </c>
      <c r="H7" s="4" t="n">
        <v>46221</v>
      </c>
      <c r="I7" s="3" t="inlineStr">
        <is>
          <t>Thấp</t>
        </is>
      </c>
      <c r="J7" s="3" t="inlineStr">
        <is>
          <t>Hoàn thành</t>
        </is>
      </c>
      <c r="K7" s="4" t="n">
        <v>46227</v>
      </c>
      <c r="L7" s="5">
        <f>IF(OR(B7="",H7=""),"",H7-K7)</f>
        <v/>
      </c>
      <c r="M7" s="6">
        <f>IF(B7="","",IF(C7="","Chưa có người thực hiện",IF(H7="","Chưa có hạn hoàn thành",IF(F7="","Chưa có tiêu chí nghiệm thu","Đủ điều kiện giao"))))</f>
        <v/>
      </c>
      <c r="N7" s="6">
        <f>IF(B7="","",IF(J7="Hoàn thành","Đã xong",IF(J7="Chưa nhận","Chưa ai nhận việc",IF(L7&lt;0,"Trễ hạn",IF(L7&lt;=2,"Sắp tới hạn","Đang trong hạn")))))</f>
        <v/>
      </c>
    </row>
    <row r="8">
      <c r="A8" s="2" t="n"/>
      <c r="B8" s="3" t="n"/>
      <c r="C8" s="3" t="n"/>
      <c r="D8" s="3" t="n"/>
      <c r="E8" s="3" t="n"/>
      <c r="F8" s="3" t="n"/>
      <c r="G8" s="4" t="n"/>
      <c r="H8" s="4" t="n"/>
      <c r="I8" s="3" t="n"/>
      <c r="J8" s="3" t="n"/>
      <c r="K8" s="4" t="n"/>
      <c r="L8" s="5">
        <f>IF(OR(B8="",H8=""),"",H8-K8)</f>
        <v/>
      </c>
      <c r="M8" s="6">
        <f>IF(B8="","",IF(C8="","Chưa có người thực hiện",IF(H8="","Chưa có hạn hoàn thành",IF(F8="","Chưa có tiêu chí nghiệm thu","Đủ điều kiện giao"))))</f>
        <v/>
      </c>
      <c r="N8" s="6">
        <f>IF(B8="","",IF(J8="Hoàn thành","Đã xong",IF(J8="Chưa nhận","Chưa ai nhận việc",IF(L8&lt;0,"Trễ hạn",IF(L8&lt;=2,"Sắp tới hạn","Đang trong hạn")))))</f>
        <v/>
      </c>
    </row>
    <row r="9">
      <c r="A9" s="2" t="n"/>
      <c r="B9" s="3" t="n"/>
      <c r="C9" s="3" t="n"/>
      <c r="D9" s="3" t="n"/>
      <c r="E9" s="3" t="n"/>
      <c r="F9" s="3" t="n"/>
      <c r="G9" s="4" t="n"/>
      <c r="H9" s="4" t="n"/>
      <c r="I9" s="3" t="n"/>
      <c r="J9" s="3" t="n"/>
      <c r="K9" s="4" t="n"/>
      <c r="L9" s="5">
        <f>IF(OR(B9="",H9=""),"",H9-K9)</f>
        <v/>
      </c>
      <c r="M9" s="6">
        <f>IF(B9="","",IF(C9="","Chưa có người thực hiện",IF(H9="","Chưa có hạn hoàn thành",IF(F9="","Chưa có tiêu chí nghiệm thu","Đủ điều kiện giao"))))</f>
        <v/>
      </c>
      <c r="N9" s="6">
        <f>IF(B9="","",IF(J9="Hoàn thành","Đã xong",IF(J9="Chưa nhận","Chưa ai nhận việc",IF(L9&lt;0,"Trễ hạn",IF(L9&lt;=2,"Sắp tới hạn","Đang trong hạn")))))</f>
        <v/>
      </c>
    </row>
    <row r="10">
      <c r="A10" s="2" t="n"/>
      <c r="B10" s="3" t="n"/>
      <c r="C10" s="3" t="n"/>
      <c r="D10" s="3" t="n"/>
      <c r="E10" s="3" t="n"/>
      <c r="F10" s="3" t="n"/>
      <c r="G10" s="4" t="n"/>
      <c r="H10" s="4" t="n"/>
      <c r="I10" s="3" t="n"/>
      <c r="J10" s="3" t="n"/>
      <c r="K10" s="4" t="n"/>
      <c r="L10" s="5">
        <f>IF(OR(B10="",H10=""),"",H10-K10)</f>
        <v/>
      </c>
      <c r="M10" s="6">
        <f>IF(B10="","",IF(C10="","Chưa có người thực hiện",IF(H10="","Chưa có hạn hoàn thành",IF(F10="","Chưa có tiêu chí nghiệm thu","Đủ điều kiện giao"))))</f>
        <v/>
      </c>
      <c r="N10" s="6">
        <f>IF(B10="","",IF(J10="Hoàn thành","Đã xong",IF(J10="Chưa nhận","Chưa ai nhận việc",IF(L10&lt;0,"Trễ hạn",IF(L10&lt;=2,"Sắp tới hạn","Đang trong hạn")))))</f>
        <v/>
      </c>
    </row>
    <row r="11">
      <c r="A11" s="2" t="n"/>
      <c r="B11" s="3" t="n"/>
      <c r="C11" s="3" t="n"/>
      <c r="D11" s="3" t="n"/>
      <c r="E11" s="3" t="n"/>
      <c r="F11" s="3" t="n"/>
      <c r="G11" s="4" t="n"/>
      <c r="H11" s="4" t="n"/>
      <c r="I11" s="3" t="n"/>
      <c r="J11" s="3" t="n"/>
      <c r="K11" s="4" t="n"/>
      <c r="L11" s="5">
        <f>IF(OR(B11="",H11=""),"",H11-K11)</f>
        <v/>
      </c>
      <c r="M11" s="6">
        <f>IF(B11="","",IF(C11="","Chưa có người thực hiện",IF(H11="","Chưa có hạn hoàn thành",IF(F11="","Chưa có tiêu chí nghiệm thu","Đủ điều kiện giao"))))</f>
        <v/>
      </c>
      <c r="N11" s="6">
        <f>IF(B11="","",IF(J11="Hoàn thành","Đã xong",IF(J11="Chưa nhận","Chưa ai nhận việc",IF(L11&lt;0,"Trễ hạn",IF(L11&lt;=2,"Sắp tới hạn","Đang trong hạn")))))</f>
        <v/>
      </c>
    </row>
    <row r="12">
      <c r="A12" s="2" t="n"/>
      <c r="B12" s="3" t="n"/>
      <c r="C12" s="3" t="n"/>
      <c r="D12" s="3" t="n"/>
      <c r="E12" s="3" t="n"/>
      <c r="F12" s="3" t="n"/>
      <c r="G12" s="4" t="n"/>
      <c r="H12" s="4" t="n"/>
      <c r="I12" s="3" t="n"/>
      <c r="J12" s="3" t="n"/>
      <c r="K12" s="4" t="n"/>
      <c r="L12" s="5">
        <f>IF(OR(B12="",H12=""),"",H12-K12)</f>
        <v/>
      </c>
      <c r="M12" s="6">
        <f>IF(B12="","",IF(C12="","Chưa có người thực hiện",IF(H12="","Chưa có hạn hoàn thành",IF(F12="","Chưa có tiêu chí nghiệm thu","Đủ điều kiện giao"))))</f>
        <v/>
      </c>
      <c r="N12" s="6">
        <f>IF(B12="","",IF(J12="Hoàn thành","Đã xong",IF(J12="Chưa nhận","Chưa ai nhận việc",IF(L12&lt;0,"Trễ hạn",IF(L12&lt;=2,"Sắp tới hạn","Đang trong hạn")))))</f>
        <v/>
      </c>
    </row>
    <row r="13">
      <c r="A13" s="2" t="n"/>
      <c r="B13" s="3" t="n"/>
      <c r="C13" s="3" t="n"/>
      <c r="D13" s="3" t="n"/>
      <c r="E13" s="3" t="n"/>
      <c r="F13" s="3" t="n"/>
      <c r="G13" s="4" t="n"/>
      <c r="H13" s="4" t="n"/>
      <c r="I13" s="3" t="n"/>
      <c r="J13" s="3" t="n"/>
      <c r="K13" s="4" t="n"/>
      <c r="L13" s="5">
        <f>IF(OR(B13="",H13=""),"",H13-K13)</f>
        <v/>
      </c>
      <c r="M13" s="6">
        <f>IF(B13="","",IF(C13="","Chưa có người thực hiện",IF(H13="","Chưa có hạn hoàn thành",IF(F13="","Chưa có tiêu chí nghiệm thu","Đủ điều kiện giao"))))</f>
        <v/>
      </c>
      <c r="N13" s="6">
        <f>IF(B13="","",IF(J13="Hoàn thành","Đã xong",IF(J13="Chưa nhận","Chưa ai nhận việc",IF(L13&lt;0,"Trễ hạn",IF(L13&lt;=2,"Sắp tới hạn","Đang trong hạn")))))</f>
        <v/>
      </c>
    </row>
    <row r="14">
      <c r="A14" s="2" t="n"/>
      <c r="B14" s="3" t="n"/>
      <c r="C14" s="3" t="n"/>
      <c r="D14" s="3" t="n"/>
      <c r="E14" s="3" t="n"/>
      <c r="F14" s="3" t="n"/>
      <c r="G14" s="4" t="n"/>
      <c r="H14" s="4" t="n"/>
      <c r="I14" s="3" t="n"/>
      <c r="J14" s="3" t="n"/>
      <c r="K14" s="4" t="n"/>
      <c r="L14" s="5">
        <f>IF(OR(B14="",H14=""),"",H14-K14)</f>
        <v/>
      </c>
      <c r="M14" s="6">
        <f>IF(B14="","",IF(C14="","Chưa có người thực hiện",IF(H14="","Chưa có hạn hoàn thành",IF(F14="","Chưa có tiêu chí nghiệm thu","Đủ điều kiện giao"))))</f>
        <v/>
      </c>
      <c r="N14" s="6">
        <f>IF(B14="","",IF(J14="Hoàn thành","Đã xong",IF(J14="Chưa nhận","Chưa ai nhận việc",IF(L14&lt;0,"Trễ hạn",IF(L14&lt;=2,"Sắp tới hạn","Đang trong hạn")))))</f>
        <v/>
      </c>
    </row>
    <row r="15">
      <c r="A15" s="2" t="n"/>
      <c r="B15" s="3" t="n"/>
      <c r="C15" s="3" t="n"/>
      <c r="D15" s="3" t="n"/>
      <c r="E15" s="3" t="n"/>
      <c r="F15" s="3" t="n"/>
      <c r="G15" s="4" t="n"/>
      <c r="H15" s="4" t="n"/>
      <c r="I15" s="3" t="n"/>
      <c r="J15" s="3" t="n"/>
      <c r="K15" s="4" t="n"/>
      <c r="L15" s="5">
        <f>IF(OR(B15="",H15=""),"",H15-K15)</f>
        <v/>
      </c>
      <c r="M15" s="6">
        <f>IF(B15="","",IF(C15="","Chưa có người thực hiện",IF(H15="","Chưa có hạn hoàn thành",IF(F15="","Chưa có tiêu chí nghiệm thu","Đủ điều kiện giao"))))</f>
        <v/>
      </c>
      <c r="N15" s="6">
        <f>IF(B15="","",IF(J15="Hoàn thành","Đã xong",IF(J15="Chưa nhận","Chưa ai nhận việc",IF(L15&lt;0,"Trễ hạn",IF(L15&lt;=2,"Sắp tới hạn","Đang trong hạn")))))</f>
        <v/>
      </c>
    </row>
    <row r="16">
      <c r="A16" s="2" t="n"/>
      <c r="B16" s="3" t="n"/>
      <c r="C16" s="3" t="n"/>
      <c r="D16" s="3" t="n"/>
      <c r="E16" s="3" t="n"/>
      <c r="F16" s="3" t="n"/>
      <c r="G16" s="4" t="n"/>
      <c r="H16" s="4" t="n"/>
      <c r="I16" s="3" t="n"/>
      <c r="J16" s="3" t="n"/>
      <c r="K16" s="4" t="n"/>
      <c r="L16" s="5">
        <f>IF(OR(B16="",H16=""),"",H16-K16)</f>
        <v/>
      </c>
      <c r="M16" s="6">
        <f>IF(B16="","",IF(C16="","Chưa có người thực hiện",IF(H16="","Chưa có hạn hoàn thành",IF(F16="","Chưa có tiêu chí nghiệm thu","Đủ điều kiện giao"))))</f>
        <v/>
      </c>
      <c r="N16" s="6">
        <f>IF(B16="","",IF(J16="Hoàn thành","Đã xong",IF(J16="Chưa nhận","Chưa ai nhận việc",IF(L16&lt;0,"Trễ hạn",IF(L16&lt;=2,"Sắp tới hạn","Đang trong hạn")))))</f>
        <v/>
      </c>
    </row>
    <row r="17">
      <c r="A17" s="2" t="n"/>
      <c r="B17" s="3" t="n"/>
      <c r="C17" s="3" t="n"/>
      <c r="D17" s="3" t="n"/>
      <c r="E17" s="3" t="n"/>
      <c r="F17" s="3" t="n"/>
      <c r="G17" s="4" t="n"/>
      <c r="H17" s="4" t="n"/>
      <c r="I17" s="3" t="n"/>
      <c r="J17" s="3" t="n"/>
      <c r="K17" s="4" t="n"/>
      <c r="L17" s="5">
        <f>IF(OR(B17="",H17=""),"",H17-K17)</f>
        <v/>
      </c>
      <c r="M17" s="6">
        <f>IF(B17="","",IF(C17="","Chưa có người thực hiện",IF(H17="","Chưa có hạn hoàn thành",IF(F17="","Chưa có tiêu chí nghiệm thu","Đủ điều kiện giao"))))</f>
        <v/>
      </c>
      <c r="N17" s="6">
        <f>IF(B17="","",IF(J17="Hoàn thành","Đã xong",IF(J17="Chưa nhận","Chưa ai nhận việc",IF(L17&lt;0,"Trễ hạn",IF(L17&lt;=2,"Sắp tới hạn","Đang trong hạn")))))</f>
        <v/>
      </c>
    </row>
    <row r="18">
      <c r="A18" s="2" t="n"/>
      <c r="B18" s="3" t="n"/>
      <c r="C18" s="3" t="n"/>
      <c r="D18" s="3" t="n"/>
      <c r="E18" s="3" t="n"/>
      <c r="F18" s="3" t="n"/>
      <c r="G18" s="4" t="n"/>
      <c r="H18" s="4" t="n"/>
      <c r="I18" s="3" t="n"/>
      <c r="J18" s="3" t="n"/>
      <c r="K18" s="4" t="n"/>
      <c r="L18" s="5">
        <f>IF(OR(B18="",H18=""),"",H18-K18)</f>
        <v/>
      </c>
      <c r="M18" s="6">
        <f>IF(B18="","",IF(C18="","Chưa có người thực hiện",IF(H18="","Chưa có hạn hoàn thành",IF(F18="","Chưa có tiêu chí nghiệm thu","Đủ điều kiện giao"))))</f>
        <v/>
      </c>
      <c r="N18" s="6">
        <f>IF(B18="","",IF(J18="Hoàn thành","Đã xong",IF(J18="Chưa nhận","Chưa ai nhận việc",IF(L18&lt;0,"Trễ hạn",IF(L18&lt;=2,"Sắp tới hạn","Đang trong hạn")))))</f>
        <v/>
      </c>
    </row>
    <row r="19">
      <c r="A19" s="2" t="n"/>
      <c r="B19" s="3" t="n"/>
      <c r="C19" s="3" t="n"/>
      <c r="D19" s="3" t="n"/>
      <c r="E19" s="3" t="n"/>
      <c r="F19" s="3" t="n"/>
      <c r="G19" s="4" t="n"/>
      <c r="H19" s="4" t="n"/>
      <c r="I19" s="3" t="n"/>
      <c r="J19" s="3" t="n"/>
      <c r="K19" s="4" t="n"/>
      <c r="L19" s="5">
        <f>IF(OR(B19="",H19=""),"",H19-K19)</f>
        <v/>
      </c>
      <c r="M19" s="6">
        <f>IF(B19="","",IF(C19="","Chưa có người thực hiện",IF(H19="","Chưa có hạn hoàn thành",IF(F19="","Chưa có tiêu chí nghiệm thu","Đủ điều kiện giao"))))</f>
        <v/>
      </c>
      <c r="N19" s="6">
        <f>IF(B19="","",IF(J19="Hoàn thành","Đã xong",IF(J19="Chưa nhận","Chưa ai nhận việc",IF(L19&lt;0,"Trễ hạn",IF(L19&lt;=2,"Sắp tới hạn","Đang trong hạn")))))</f>
        <v/>
      </c>
    </row>
    <row r="20">
      <c r="A20" s="2" t="n"/>
      <c r="B20" s="3" t="n"/>
      <c r="C20" s="3" t="n"/>
      <c r="D20" s="3" t="n"/>
      <c r="E20" s="3" t="n"/>
      <c r="F20" s="3" t="n"/>
      <c r="G20" s="4" t="n"/>
      <c r="H20" s="4" t="n"/>
      <c r="I20" s="3" t="n"/>
      <c r="J20" s="3" t="n"/>
      <c r="K20" s="4" t="n"/>
      <c r="L20" s="5">
        <f>IF(OR(B20="",H20=""),"",H20-K20)</f>
        <v/>
      </c>
      <c r="M20" s="6">
        <f>IF(B20="","",IF(C20="","Chưa có người thực hiện",IF(H20="","Chưa có hạn hoàn thành",IF(F20="","Chưa có tiêu chí nghiệm thu","Đủ điều kiện giao"))))</f>
        <v/>
      </c>
      <c r="N20" s="6">
        <f>IF(B20="","",IF(J20="Hoàn thành","Đã xong",IF(J20="Chưa nhận","Chưa ai nhận việc",IF(L20&lt;0,"Trễ hạn",IF(L20&lt;=2,"Sắp tới hạn","Đang trong hạn")))))</f>
        <v/>
      </c>
    </row>
    <row r="21">
      <c r="A21" s="2" t="n"/>
      <c r="B21" s="3" t="n"/>
      <c r="C21" s="3" t="n"/>
      <c r="D21" s="3" t="n"/>
      <c r="E21" s="3" t="n"/>
      <c r="F21" s="3" t="n"/>
      <c r="G21" s="4" t="n"/>
      <c r="H21" s="4" t="n"/>
      <c r="I21" s="3" t="n"/>
      <c r="J21" s="3" t="n"/>
      <c r="K21" s="4" t="n"/>
      <c r="L21" s="5">
        <f>IF(OR(B21="",H21=""),"",H21-K21)</f>
        <v/>
      </c>
      <c r="M21" s="6">
        <f>IF(B21="","",IF(C21="","Chưa có người thực hiện",IF(H21="","Chưa có hạn hoàn thành",IF(F21="","Chưa có tiêu chí nghiệm thu","Đủ điều kiện giao"))))</f>
        <v/>
      </c>
      <c r="N21" s="6">
        <f>IF(B21="","",IF(J21="Hoàn thành","Đã xong",IF(J21="Chưa nhận","Chưa ai nhận việc",IF(L21&lt;0,"Trễ hạn",IF(L21&lt;=2,"Sắp tới hạn","Đang trong hạn")))))</f>
        <v/>
      </c>
    </row>
    <row r="22">
      <c r="A22" s="2" t="n"/>
      <c r="B22" s="3" t="n"/>
      <c r="C22" s="3" t="n"/>
      <c r="D22" s="3" t="n"/>
      <c r="E22" s="3" t="n"/>
      <c r="F22" s="3" t="n"/>
      <c r="G22" s="4" t="n"/>
      <c r="H22" s="4" t="n"/>
      <c r="I22" s="3" t="n"/>
      <c r="J22" s="3" t="n"/>
      <c r="K22" s="4" t="n"/>
      <c r="L22" s="5">
        <f>IF(OR(B22="",H22=""),"",H22-K22)</f>
        <v/>
      </c>
      <c r="M22" s="6">
        <f>IF(B22="","",IF(C22="","Chưa có người thực hiện",IF(H22="","Chưa có hạn hoàn thành",IF(F22="","Chưa có tiêu chí nghiệm thu","Đủ điều kiện giao"))))</f>
        <v/>
      </c>
      <c r="N22" s="6">
        <f>IF(B22="","",IF(J22="Hoàn thành","Đã xong",IF(J22="Chưa nhận","Chưa ai nhận việc",IF(L22&lt;0,"Trễ hạn",IF(L22&lt;=2,"Sắp tới hạn","Đang trong hạn")))))</f>
        <v/>
      </c>
    </row>
    <row r="23">
      <c r="A23" s="2" t="n"/>
      <c r="B23" s="3" t="n"/>
      <c r="C23" s="3" t="n"/>
      <c r="D23" s="3" t="n"/>
      <c r="E23" s="3" t="n"/>
      <c r="F23" s="3" t="n"/>
      <c r="G23" s="4" t="n"/>
      <c r="H23" s="4" t="n"/>
      <c r="I23" s="3" t="n"/>
      <c r="J23" s="3" t="n"/>
      <c r="K23" s="4" t="n"/>
      <c r="L23" s="5">
        <f>IF(OR(B23="",H23=""),"",H23-K23)</f>
        <v/>
      </c>
      <c r="M23" s="6">
        <f>IF(B23="","",IF(C23="","Chưa có người thực hiện",IF(H23="","Chưa có hạn hoàn thành",IF(F23="","Chưa có tiêu chí nghiệm thu","Đủ điều kiện giao"))))</f>
        <v/>
      </c>
      <c r="N23" s="6">
        <f>IF(B23="","",IF(J23="Hoàn thành","Đã xong",IF(J23="Chưa nhận","Chưa ai nhận việc",IF(L23&lt;0,"Trễ hạn",IF(L23&lt;=2,"Sắp tới hạn","Đang trong hạn")))))</f>
        <v/>
      </c>
    </row>
    <row r="24">
      <c r="A24" s="2" t="n"/>
      <c r="B24" s="3" t="n"/>
      <c r="C24" s="3" t="n"/>
      <c r="D24" s="3" t="n"/>
      <c r="E24" s="3" t="n"/>
      <c r="F24" s="3" t="n"/>
      <c r="G24" s="4" t="n"/>
      <c r="H24" s="4" t="n"/>
      <c r="I24" s="3" t="n"/>
      <c r="J24" s="3" t="n"/>
      <c r="K24" s="4" t="n"/>
      <c r="L24" s="5">
        <f>IF(OR(B24="",H24=""),"",H24-K24)</f>
        <v/>
      </c>
      <c r="M24" s="6">
        <f>IF(B24="","",IF(C24="","Chưa có người thực hiện",IF(H24="","Chưa có hạn hoàn thành",IF(F24="","Chưa có tiêu chí nghiệm thu","Đủ điều kiện giao"))))</f>
        <v/>
      </c>
      <c r="N24" s="6">
        <f>IF(B24="","",IF(J24="Hoàn thành","Đã xong",IF(J24="Chưa nhận","Chưa ai nhận việc",IF(L24&lt;0,"Trễ hạn",IF(L24&lt;=2,"Sắp tới hạn","Đang trong hạn")))))</f>
        <v/>
      </c>
    </row>
    <row r="25">
      <c r="A25" s="2" t="n"/>
      <c r="B25" s="3" t="n"/>
      <c r="C25" s="3" t="n"/>
      <c r="D25" s="3" t="n"/>
      <c r="E25" s="3" t="n"/>
      <c r="F25" s="3" t="n"/>
      <c r="G25" s="4" t="n"/>
      <c r="H25" s="4" t="n"/>
      <c r="I25" s="3" t="n"/>
      <c r="J25" s="3" t="n"/>
      <c r="K25" s="4" t="n"/>
      <c r="L25" s="5">
        <f>IF(OR(B25="",H25=""),"",H25-K25)</f>
        <v/>
      </c>
      <c r="M25" s="6">
        <f>IF(B25="","",IF(C25="","Chưa có người thực hiện",IF(H25="","Chưa có hạn hoàn thành",IF(F25="","Chưa có tiêu chí nghiệm thu","Đủ điều kiện giao"))))</f>
        <v/>
      </c>
      <c r="N25" s="6">
        <f>IF(B25="","",IF(J25="Hoàn thành","Đã xong",IF(J25="Chưa nhận","Chưa ai nhận việc",IF(L25&lt;0,"Trễ hạn",IF(L25&lt;=2,"Sắp tới hạn","Đang trong hạn")))))</f>
        <v/>
      </c>
    </row>
    <row r="26">
      <c r="A26" s="2" t="n"/>
      <c r="B26" s="3" t="n"/>
      <c r="C26" s="3" t="n"/>
      <c r="D26" s="3" t="n"/>
      <c r="E26" s="3" t="n"/>
      <c r="F26" s="3" t="n"/>
      <c r="G26" s="4" t="n"/>
      <c r="H26" s="4" t="n"/>
      <c r="I26" s="3" t="n"/>
      <c r="J26" s="3" t="n"/>
      <c r="K26" s="4" t="n"/>
      <c r="L26" s="5">
        <f>IF(OR(B26="",H26=""),"",H26-K26)</f>
        <v/>
      </c>
      <c r="M26" s="6">
        <f>IF(B26="","",IF(C26="","Chưa có người thực hiện",IF(H26="","Chưa có hạn hoàn thành",IF(F26="","Chưa có tiêu chí nghiệm thu","Đủ điều kiện giao"))))</f>
        <v/>
      </c>
      <c r="N26" s="6">
        <f>IF(B26="","",IF(J26="Hoàn thành","Đã xong",IF(J26="Chưa nhận","Chưa ai nhận việc",IF(L26&lt;0,"Trễ hạn",IF(L26&lt;=2,"Sắp tới hạn","Đang trong hạn")))))</f>
        <v/>
      </c>
    </row>
    <row r="27">
      <c r="A27" s="2" t="n"/>
      <c r="B27" s="3" t="n"/>
      <c r="C27" s="3" t="n"/>
      <c r="D27" s="3" t="n"/>
      <c r="E27" s="3" t="n"/>
      <c r="F27" s="3" t="n"/>
      <c r="G27" s="4" t="n"/>
      <c r="H27" s="4" t="n"/>
      <c r="I27" s="3" t="n"/>
      <c r="J27" s="3" t="n"/>
      <c r="K27" s="4" t="n"/>
      <c r="L27" s="5">
        <f>IF(OR(B27="",H27=""),"",H27-K27)</f>
        <v/>
      </c>
      <c r="M27" s="6">
        <f>IF(B27="","",IF(C27="","Chưa có người thực hiện",IF(H27="","Chưa có hạn hoàn thành",IF(F27="","Chưa có tiêu chí nghiệm thu","Đủ điều kiện giao"))))</f>
        <v/>
      </c>
      <c r="N27" s="6">
        <f>IF(B27="","",IF(J27="Hoàn thành","Đã xong",IF(J27="Chưa nhận","Chưa ai nhận việc",IF(L27&lt;0,"Trễ hạn",IF(L27&lt;=2,"Sắp tới hạn","Đang trong hạn")))))</f>
        <v/>
      </c>
    </row>
    <row r="28">
      <c r="A28" s="2" t="n"/>
      <c r="B28" s="3" t="n"/>
      <c r="C28" s="3" t="n"/>
      <c r="D28" s="3" t="n"/>
      <c r="E28" s="3" t="n"/>
      <c r="F28" s="3" t="n"/>
      <c r="G28" s="4" t="n"/>
      <c r="H28" s="4" t="n"/>
      <c r="I28" s="3" t="n"/>
      <c r="J28" s="3" t="n"/>
      <c r="K28" s="4" t="n"/>
      <c r="L28" s="5">
        <f>IF(OR(B28="",H28=""),"",H28-K28)</f>
        <v/>
      </c>
      <c r="M28" s="6">
        <f>IF(B28="","",IF(C28="","Chưa có người thực hiện",IF(H28="","Chưa có hạn hoàn thành",IF(F28="","Chưa có tiêu chí nghiệm thu","Đủ điều kiện giao"))))</f>
        <v/>
      </c>
      <c r="N28" s="6">
        <f>IF(B28="","",IF(J28="Hoàn thành","Đã xong",IF(J28="Chưa nhận","Chưa ai nhận việc",IF(L28&lt;0,"Trễ hạn",IF(L28&lt;=2,"Sắp tới hạn","Đang trong hạn")))))</f>
        <v/>
      </c>
    </row>
    <row r="29">
      <c r="A29" s="2" t="n"/>
      <c r="B29" s="3" t="n"/>
      <c r="C29" s="3" t="n"/>
      <c r="D29" s="3" t="n"/>
      <c r="E29" s="3" t="n"/>
      <c r="F29" s="3" t="n"/>
      <c r="G29" s="4" t="n"/>
      <c r="H29" s="4" t="n"/>
      <c r="I29" s="3" t="n"/>
      <c r="J29" s="3" t="n"/>
      <c r="K29" s="4" t="n"/>
      <c r="L29" s="5">
        <f>IF(OR(B29="",H29=""),"",H29-K29)</f>
        <v/>
      </c>
      <c r="M29" s="6">
        <f>IF(B29="","",IF(C29="","Chưa có người thực hiện",IF(H29="","Chưa có hạn hoàn thành",IF(F29="","Chưa có tiêu chí nghiệm thu","Đủ điều kiện giao"))))</f>
        <v/>
      </c>
      <c r="N29" s="6">
        <f>IF(B29="","",IF(J29="Hoàn thành","Đã xong",IF(J29="Chưa nhận","Chưa ai nhận việc",IF(L29&lt;0,"Trễ hạn",IF(L29&lt;=2,"Sắp tới hạn","Đang trong hạn")))))</f>
        <v/>
      </c>
    </row>
    <row r="30">
      <c r="A30" s="2" t="n"/>
      <c r="B30" s="3" t="n"/>
      <c r="C30" s="3" t="n"/>
      <c r="D30" s="3" t="n"/>
      <c r="E30" s="3" t="n"/>
      <c r="F30" s="3" t="n"/>
      <c r="G30" s="4" t="n"/>
      <c r="H30" s="4" t="n"/>
      <c r="I30" s="3" t="n"/>
      <c r="J30" s="3" t="n"/>
      <c r="K30" s="4" t="n"/>
      <c r="L30" s="5">
        <f>IF(OR(B30="",H30=""),"",H30-K30)</f>
        <v/>
      </c>
      <c r="M30" s="6">
        <f>IF(B30="","",IF(C30="","Chưa có người thực hiện",IF(H30="","Chưa có hạn hoàn thành",IF(F30="","Chưa có tiêu chí nghiệm thu","Đủ điều kiện giao"))))</f>
        <v/>
      </c>
      <c r="N30" s="6">
        <f>IF(B30="","",IF(J30="Hoàn thành","Đã xong",IF(J30="Chưa nhận","Chưa ai nhận việc",IF(L30&lt;0,"Trễ hạn",IF(L30&lt;=2,"Sắp tới hạn","Đang trong hạn")))))</f>
        <v/>
      </c>
    </row>
    <row r="31">
      <c r="A31" s="2" t="n"/>
      <c r="B31" s="3" t="n"/>
      <c r="C31" s="3" t="n"/>
      <c r="D31" s="3" t="n"/>
      <c r="E31" s="3" t="n"/>
      <c r="F31" s="3" t="n"/>
      <c r="G31" s="4" t="n"/>
      <c r="H31" s="4" t="n"/>
      <c r="I31" s="3" t="n"/>
      <c r="J31" s="3" t="n"/>
      <c r="K31" s="4" t="n"/>
      <c r="L31" s="5">
        <f>IF(OR(B31="",H31=""),"",H31-K31)</f>
        <v/>
      </c>
      <c r="M31" s="6">
        <f>IF(B31="","",IF(C31="","Chưa có người thực hiện",IF(H31="","Chưa có hạn hoàn thành",IF(F31="","Chưa có tiêu chí nghiệm thu","Đủ điều kiện giao"))))</f>
        <v/>
      </c>
      <c r="N31" s="6">
        <f>IF(B31="","",IF(J31="Hoàn thành","Đã xong",IF(J31="Chưa nhận","Chưa ai nhận việc",IF(L31&lt;0,"Trễ hạn",IF(L31&lt;=2,"Sắp tới hạn","Đang trong hạn")))))</f>
        <v/>
      </c>
    </row>
    <row r="32">
      <c r="A32" s="2" t="n"/>
      <c r="B32" s="3" t="n"/>
      <c r="C32" s="3" t="n"/>
      <c r="D32" s="3" t="n"/>
      <c r="E32" s="3" t="n"/>
      <c r="F32" s="3" t="n"/>
      <c r="G32" s="4" t="n"/>
      <c r="H32" s="4" t="n"/>
      <c r="I32" s="3" t="n"/>
      <c r="J32" s="3" t="n"/>
      <c r="K32" s="4" t="n"/>
      <c r="L32" s="5">
        <f>IF(OR(B32="",H32=""),"",H32-K32)</f>
        <v/>
      </c>
      <c r="M32" s="6">
        <f>IF(B32="","",IF(C32="","Chưa có người thực hiện",IF(H32="","Chưa có hạn hoàn thành",IF(F32="","Chưa có tiêu chí nghiệm thu","Đủ điều kiện giao"))))</f>
        <v/>
      </c>
      <c r="N32" s="6">
        <f>IF(B32="","",IF(J32="Hoàn thành","Đã xong",IF(J32="Chưa nhận","Chưa ai nhận việc",IF(L32&lt;0,"Trễ hạn",IF(L32&lt;=2,"Sắp tới hạn","Đang trong hạn")))))</f>
        <v/>
      </c>
    </row>
    <row r="33">
      <c r="A33" s="2" t="n"/>
      <c r="B33" s="3" t="n"/>
      <c r="C33" s="3" t="n"/>
      <c r="D33" s="3" t="n"/>
      <c r="E33" s="3" t="n"/>
      <c r="F33" s="3" t="n"/>
      <c r="G33" s="4" t="n"/>
      <c r="H33" s="4" t="n"/>
      <c r="I33" s="3" t="n"/>
      <c r="J33" s="3" t="n"/>
      <c r="K33" s="4" t="n"/>
      <c r="L33" s="5">
        <f>IF(OR(B33="",H33=""),"",H33-K33)</f>
        <v/>
      </c>
      <c r="M33" s="6">
        <f>IF(B33="","",IF(C33="","Chưa có người thực hiện",IF(H33="","Chưa có hạn hoàn thành",IF(F33="","Chưa có tiêu chí nghiệm thu","Đủ điều kiện giao"))))</f>
        <v/>
      </c>
      <c r="N33" s="6">
        <f>IF(B33="","",IF(J33="Hoàn thành","Đã xong",IF(J33="Chưa nhận","Chưa ai nhận việc",IF(L33&lt;0,"Trễ hạn",IF(L33&lt;=2,"Sắp tới hạn","Đang trong hạn")))))</f>
        <v/>
      </c>
    </row>
    <row r="34">
      <c r="A34" s="2" t="n"/>
      <c r="B34" s="3" t="n"/>
      <c r="C34" s="3" t="n"/>
      <c r="D34" s="3" t="n"/>
      <c r="E34" s="3" t="n"/>
      <c r="F34" s="3" t="n"/>
      <c r="G34" s="4" t="n"/>
      <c r="H34" s="4" t="n"/>
      <c r="I34" s="3" t="n"/>
      <c r="J34" s="3" t="n"/>
      <c r="K34" s="4" t="n"/>
      <c r="L34" s="5">
        <f>IF(OR(B34="",H34=""),"",H34-K34)</f>
        <v/>
      </c>
      <c r="M34" s="6">
        <f>IF(B34="","",IF(C34="","Chưa có người thực hiện",IF(H34="","Chưa có hạn hoàn thành",IF(F34="","Chưa có tiêu chí nghiệm thu","Đủ điều kiện giao"))))</f>
        <v/>
      </c>
      <c r="N34" s="6">
        <f>IF(B34="","",IF(J34="Hoàn thành","Đã xong",IF(J34="Chưa nhận","Chưa ai nhận việc",IF(L34&lt;0,"Trễ hạn",IF(L34&lt;=2,"Sắp tới hạn","Đang trong hạn")))))</f>
        <v/>
      </c>
    </row>
    <row r="35">
      <c r="A35" s="2" t="n"/>
      <c r="B35" s="3" t="n"/>
      <c r="C35" s="3" t="n"/>
      <c r="D35" s="3" t="n"/>
      <c r="E35" s="3" t="n"/>
      <c r="F35" s="3" t="n"/>
      <c r="G35" s="4" t="n"/>
      <c r="H35" s="4" t="n"/>
      <c r="I35" s="3" t="n"/>
      <c r="J35" s="3" t="n"/>
      <c r="K35" s="4" t="n"/>
      <c r="L35" s="5">
        <f>IF(OR(B35="",H35=""),"",H35-K35)</f>
        <v/>
      </c>
      <c r="M35" s="6">
        <f>IF(B35="","",IF(C35="","Chưa có người thực hiện",IF(H35="","Chưa có hạn hoàn thành",IF(F35="","Chưa có tiêu chí nghiệm thu","Đủ điều kiện giao"))))</f>
        <v/>
      </c>
      <c r="N35" s="6">
        <f>IF(B35="","",IF(J35="Hoàn thành","Đã xong",IF(J35="Chưa nhận","Chưa ai nhận việc",IF(L35&lt;0,"Trễ hạn",IF(L35&lt;=2,"Sắp tới hạn","Đang trong hạn")))))</f>
        <v/>
      </c>
    </row>
    <row r="36">
      <c r="A36" s="2" t="n"/>
      <c r="B36" s="3" t="n"/>
      <c r="C36" s="3" t="n"/>
      <c r="D36" s="3" t="n"/>
      <c r="E36" s="3" t="n"/>
      <c r="F36" s="3" t="n"/>
      <c r="G36" s="4" t="n"/>
      <c r="H36" s="4" t="n"/>
      <c r="I36" s="3" t="n"/>
      <c r="J36" s="3" t="n"/>
      <c r="K36" s="4" t="n"/>
      <c r="L36" s="5">
        <f>IF(OR(B36="",H36=""),"",H36-K36)</f>
        <v/>
      </c>
      <c r="M36" s="6">
        <f>IF(B36="","",IF(C36="","Chưa có người thực hiện",IF(H36="","Chưa có hạn hoàn thành",IF(F36="","Chưa có tiêu chí nghiệm thu","Đủ điều kiện giao"))))</f>
        <v/>
      </c>
      <c r="N36" s="6">
        <f>IF(B36="","",IF(J36="Hoàn thành","Đã xong",IF(J36="Chưa nhận","Chưa ai nhận việc",IF(L36&lt;0,"Trễ hạn",IF(L36&lt;=2,"Sắp tới hạn","Đang trong hạn")))))</f>
        <v/>
      </c>
    </row>
    <row r="37">
      <c r="A37" s="2" t="n"/>
      <c r="B37" s="3" t="n"/>
      <c r="C37" s="3" t="n"/>
      <c r="D37" s="3" t="n"/>
      <c r="E37" s="3" t="n"/>
      <c r="F37" s="3" t="n"/>
      <c r="G37" s="4" t="n"/>
      <c r="H37" s="4" t="n"/>
      <c r="I37" s="3" t="n"/>
      <c r="J37" s="3" t="n"/>
      <c r="K37" s="4" t="n"/>
      <c r="L37" s="5">
        <f>IF(OR(B37="",H37=""),"",H37-K37)</f>
        <v/>
      </c>
      <c r="M37" s="6">
        <f>IF(B37="","",IF(C37="","Chưa có người thực hiện",IF(H37="","Chưa có hạn hoàn thành",IF(F37="","Chưa có tiêu chí nghiệm thu","Đủ điều kiện giao"))))</f>
        <v/>
      </c>
      <c r="N37" s="6">
        <f>IF(B37="","",IF(J37="Hoàn thành","Đã xong",IF(J37="Chưa nhận","Chưa ai nhận việc",IF(L37&lt;0,"Trễ hạn",IF(L37&lt;=2,"Sắp tới hạn","Đang trong hạn")))))</f>
        <v/>
      </c>
    </row>
  </sheetData>
  <autoFilter ref="A1:N37"/>
  <dataValidations count="3">
    <dataValidation sqref="E2:E37" showDropDown="0" showInputMessage="0" showErrorMessage="0" allowBlank="1" errorTitle="Sai định dạng" error="Giá trị không hợp lệ cho cột này." type="list">
      <formula1>"Kinh doanh,Marketing,Kế toán,Hành chính nhân sự,Sản xuất,Kỹ thuật,Kho vận"</formula1>
    </dataValidation>
    <dataValidation sqref="I2:I37" showDropDown="0" showInputMessage="0" showErrorMessage="0" allowBlank="1" errorTitle="Sai định dạng" error="Giá trị không hợp lệ cho cột này." type="list">
      <formula1>"Cao,Trung bình,Thấp"</formula1>
    </dataValidation>
    <dataValidation sqref="J2:J37" showDropDown="0" showInputMessage="0" showErrorMessage="0" allowBlank="1" errorTitle="Sai định dạng" error="Giá trị không hợp lệ cho cột này." type="list">
      <formula1>"Chưa nhận,Đã nhận,Đang làm,Hoàn thành"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22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7" t="inlineStr">
        <is>
          <t>Mẫu Excel phân công công việc (bắt lỗi giao việc thiếu điều kiện)</t>
        </is>
      </c>
    </row>
    <row r="2">
      <c r="B2" s="8" t="inlineStr"/>
    </row>
    <row r="3">
      <c r="B3" s="9" t="inlineStr">
        <is>
          <t>CÁCH DÙNG</t>
        </is>
      </c>
    </row>
    <row r="4">
      <c r="B4" s="10" t="inlineStr">
        <is>
          <t>1. Ghi đầu việc kèm người chịu trách nhiệm duy nhất</t>
        </is>
      </c>
    </row>
    <row r="5">
      <c r="B5" s="8" t="inlineStr">
        <is>
          <t xml:space="preserve">   Mỗi dòng một đầu việc và đúng một tên ở cột người thực hiện. Cần nhiều người thì tách thành nhiều dòng, mỗi dòng một phần việc. Ghi hai tên vào một ô là cách chắc chắn nhất để không ai thấy mình chịu trách nhiệm.</t>
        </is>
      </c>
    </row>
    <row r="6">
      <c r="B6" s="10" t="inlineStr">
        <is>
          <t>2. Viết tiêu chí nghiệm thu trước khi giao</t>
        </is>
      </c>
    </row>
    <row r="7">
      <c r="B7" s="8" t="inlineStr">
        <is>
          <t xml:space="preserve">   Tiêu chí phải là thứ nhìn vào là biết đạt hay chưa: một file đã gửi, một danh sách đã duyệt, một con số đã đạt. Viết được tiêu chí cũng là lúc bạn biết mình đang giao việc gì; không viết được thường có nghĩa là đầu việc còn chưa rõ.</t>
        </is>
      </c>
    </row>
    <row r="8">
      <c r="B8" s="10" t="inlineStr">
        <is>
          <t>3. Đặt hạn và người duyệt</t>
        </is>
      </c>
    </row>
    <row r="9">
      <c r="B9" s="8" t="inlineStr">
        <is>
          <t xml:space="preserve">   Người duyệt là người xác nhận kết quả đạt tiêu chí, thường là người giao việc. Có tên ở cột này thì lúc xong mới biết trình cho ai, tránh cảnh việc làm xong nằm chờ vì không rõ ai chốt.</t>
        </is>
      </c>
    </row>
    <row r="10">
      <c r="B10" s="10" t="inlineStr">
        <is>
          <t>4. Rà cột kiểm tra trước khi phát bảng</t>
        </is>
      </c>
    </row>
    <row r="11">
      <c r="B11" s="8" t="inlineStr">
        <is>
          <t xml:space="preserve">   Lọc cột Kiểm tra, giữ lại những dòng không phải Đủ điều kiện giao. Sửa hết các dòng đó rồi mới gửi bảng cho nhóm — đây là lúc rẻ nhất để sửa, mọi lúc khác đều đắt hơn.</t>
        </is>
      </c>
    </row>
    <row r="12">
      <c r="B12" s="8" t="inlineStr"/>
    </row>
    <row r="13">
      <c r="B13" s="9" t="inlineStr">
        <is>
          <t>CÔNG THỨC TRONG FILE</t>
        </is>
      </c>
    </row>
    <row r="14">
      <c r="B14" s="10" t="inlineStr">
        <is>
          <t>Số ngày còn lại  —  =IF(OR(B2="",H2=""),"",H2-K2)</t>
        </is>
      </c>
    </row>
    <row r="15">
      <c r="B15" s="8" t="inlineStr">
        <is>
          <t xml:space="preserve">   Hạn hoàn thành trừ ngày chốt sổ. Bọc thêm điều kiện hạn để trống, vì trừ một ô rỗng cho một ngày sẽ ném #VALUE! và làm hỏng cả những cột phía sau — mà dòng thiếu hạn lại đúng là dòng cột kiểm tra cần bắt.</t>
        </is>
      </c>
    </row>
    <row r="16">
      <c r="B16" s="10" t="inlineStr">
        <is>
          <t>Kiểm tra lệnh giao việc  —  =IF(B2="","",IF(C2="","Chưa có người thực hiện",IF(H2="","Chưa có hạn hoàn thành",IF(F2="","Chưa có tiêu chí nghiệm thu","Đủ điều kiện giao"))))</t>
        </is>
      </c>
    </row>
    <row r="17">
      <c r="B17" s="8" t="inlineStr">
        <is>
          <t xml:space="preserve">   Ba điều kiện của một lệnh giao việc, kiểm lần lượt và chỉ báo cái thiếu đầu tiên. Cố ý báo từng lỗi một thay vì liệt kê hết: sửa xong lỗi này thì lỗi sau hiện ra, cách này giữ cho ô cảnh báo luôn ngắn và luôn có đúng một việc phải làm.</t>
        </is>
      </c>
    </row>
    <row r="18">
      <c r="B18" s="10" t="inlineStr">
        <is>
          <t>Tình trạng  —  =IF(B2="","",IF(J2="Hoàn thành","Đã xong",IF(J2="Chưa nhận","Chưa ai nhận việc",IF(L2&lt;0,"Trễ hạn",IF(L2&lt;=2,"Sắp tới hạn","Đang trong hạn")))))</t>
        </is>
      </c>
    </row>
    <row r="19">
      <c r="B19" s="8" t="inlineStr">
        <is>
          <t xml:space="preserve">   Việc chưa ai nhận được xếp riêng và đứng trước cả cảnh báo trễ hạn, vì nó là loại rủi ro khác hẳn: không phải làm chậm mà là chưa ai bắt đầu, và người phải xử lý là người giao việc chứ không phải người làm.</t>
        </is>
      </c>
    </row>
    <row r="20">
      <c r="B20" s="8" t="inlineStr"/>
    </row>
    <row r="21">
      <c r="B21" s="10" t="inlineStr">
        <is>
          <t>Bản cập nhật mới nhất và hướng dẫn chi tiết:</t>
        </is>
      </c>
    </row>
    <row r="22">
      <c r="B22" s="11" t="inlineStr">
        <is>
          <t>https://excel.nguyenvietloc.com/mau-excel/quan-ly-cong-viec/bang-phan-cong-cong-viec</t>
        </is>
      </c>
    </row>
  </sheetData>
  <hyperlinks>
    <hyperlink xmlns:r="http://schemas.openxmlformats.org/officeDocument/2006/relationships" ref="B2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2026-08-10T14:56:09Z</dcterms:created>
  <dcterms:modified xsi:type="dcterms:W3CDTF">2026-08-10T14:56:09Z</dcterms:modified>
</cp:coreProperties>
</file>