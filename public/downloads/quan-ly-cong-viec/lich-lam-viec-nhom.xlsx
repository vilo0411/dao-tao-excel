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ịch làm việc tuần" sheetId="1" state="visible" r:id="rId1"/>
    <sheet name="Hướng dẫn" sheetId="2" state="visible" r:id="rId2"/>
  </sheets>
  <definedNames>
    <definedName name="_xlnm._FilterDatabase" localSheetId="0" hidden="1">'Lịch làm việc tuần'!$A$1:$O$32</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4" fontId="0" fillId="3" borderId="1" pivotButton="0" quotePrefix="0" xfId="0"/>
    <xf numFmtId="165"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lich-lam-viec-nhom" TargetMode="External" Id="rId1" /></Relationships>
</file>

<file path=xl/worksheets/sheet1.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2" customWidth="1" min="3" max="3"/>
    <col width="20" customWidth="1" min="4" max="4"/>
    <col width="16" customWidth="1" min="5" max="5"/>
    <col width="9" customWidth="1" min="6" max="6"/>
    <col width="9" customWidth="1" min="7" max="7"/>
    <col width="9" customWidth="1" min="8" max="8"/>
    <col width="9" customWidth="1" min="9" max="9"/>
    <col width="9" customWidth="1" min="10" max="10"/>
    <col width="14" customWidth="1" min="11" max="11"/>
    <col width="14" customWidth="1" min="12" max="12"/>
    <col width="11" customWidth="1" min="13" max="13"/>
    <col width="12" customWidth="1" min="14" max="14"/>
    <col width="28" customWidth="1" min="15" max="15"/>
  </cols>
  <sheetData>
    <row r="1" ht="32" customHeight="1">
      <c r="A1" s="1" t="inlineStr">
        <is>
          <t>STT</t>
        </is>
      </c>
      <c r="B1" s="1" t="inlineStr">
        <is>
          <t>Tuần</t>
        </is>
      </c>
      <c r="C1" s="1" t="inlineStr">
        <is>
          <t>Thành viên</t>
        </is>
      </c>
      <c r="D1" s="1" t="inlineStr">
        <is>
          <t>Vai trò</t>
        </is>
      </c>
      <c r="E1" s="1" t="inlineStr">
        <is>
          <t>Bộ phận</t>
        </is>
      </c>
      <c r="F1" s="1" t="inlineStr">
        <is>
          <t>Thứ hai</t>
        </is>
      </c>
      <c r="G1" s="1" t="inlineStr">
        <is>
          <t>Thứ ba</t>
        </is>
      </c>
      <c r="H1" s="1" t="inlineStr">
        <is>
          <t>Thứ tư</t>
        </is>
      </c>
      <c r="I1" s="1" t="inlineStr">
        <is>
          <t>Thứ năm</t>
        </is>
      </c>
      <c r="J1" s="1" t="inlineStr">
        <is>
          <t>Thứ sáu</t>
        </is>
      </c>
      <c r="K1" s="1" t="inlineStr">
        <is>
          <t>Quỹ giờ khả dụng</t>
        </is>
      </c>
      <c r="L1" s="1" t="inlineStr">
        <is>
          <t>Tổng giờ phân bổ</t>
        </is>
      </c>
      <c r="M1" s="1" t="inlineStr">
        <is>
          <t>Tỷ lệ tải</t>
        </is>
      </c>
      <c r="N1" s="1" t="inlineStr">
        <is>
          <t>Giờ còn trống</t>
        </is>
      </c>
      <c r="O1" s="1" t="inlineStr">
        <is>
          <t>Cảnh báo</t>
        </is>
      </c>
    </row>
    <row r="2">
      <c r="A2" s="2" t="n">
        <v>1</v>
      </c>
      <c r="B2" s="3" t="inlineStr">
        <is>
          <t>Tuần 31/2026</t>
        </is>
      </c>
      <c r="C2" s="3" t="inlineStr">
        <is>
          <t>Nguyễn Văn Minh</t>
        </is>
      </c>
      <c r="D2" s="3" t="inlineStr">
        <is>
          <t>Trưởng nhóm kinh doanh</t>
        </is>
      </c>
      <c r="E2" s="3" t="inlineStr">
        <is>
          <t>Kinh doanh</t>
        </is>
      </c>
      <c r="F2" s="2" t="n">
        <v>6</v>
      </c>
      <c r="G2" s="2" t="n">
        <v>7</v>
      </c>
      <c r="H2" s="2" t="n">
        <v>6</v>
      </c>
      <c r="I2" s="2" t="n">
        <v>7</v>
      </c>
      <c r="J2" s="2" t="n">
        <v>5</v>
      </c>
      <c r="K2" s="2" t="n">
        <v>28</v>
      </c>
      <c r="L2" s="4">
        <f>IF(C2="","",SUM(F2:J2))</f>
        <v/>
      </c>
      <c r="M2" s="5">
        <f>IF(C2="","",IFERROR(L2/K2,0))</f>
        <v/>
      </c>
      <c r="N2" s="4">
        <f>IF(C2="","",K2-L2)</f>
        <v/>
      </c>
      <c r="O2" s="6">
        <f>IF(C2="","",IF(M2&gt;1,"Quá tải - cần chuyển bớt việc",IF(M2&gt;=0.9,"Kín lịch - không còn chỗ xoay",IF(M2&lt;0.6,"Còn trống nhiều","Tải hợp lý"))))</f>
        <v/>
      </c>
    </row>
    <row r="3">
      <c r="A3" s="2" t="n">
        <v>2</v>
      </c>
      <c r="B3" s="3" t="inlineStr">
        <is>
          <t>Tuần 31/2026</t>
        </is>
      </c>
      <c r="C3" s="3" t="inlineStr">
        <is>
          <t>Lê Quốc Bảo</t>
        </is>
      </c>
      <c r="D3" s="3" t="inlineStr">
        <is>
          <t>Chuyên viên nội dung</t>
        </is>
      </c>
      <c r="E3" s="3" t="inlineStr">
        <is>
          <t>Marketing</t>
        </is>
      </c>
      <c r="F3" s="2" t="n">
        <v>6</v>
      </c>
      <c r="G3" s="2" t="n">
        <v>6</v>
      </c>
      <c r="H3" s="2" t="n">
        <v>6</v>
      </c>
      <c r="I3" s="2" t="n">
        <v>6</v>
      </c>
      <c r="J3" s="2" t="n">
        <v>4</v>
      </c>
      <c r="K3" s="2" t="n">
        <v>32</v>
      </c>
      <c r="L3" s="4">
        <f>IF(C3="","",SUM(F3:J3))</f>
        <v/>
      </c>
      <c r="M3" s="5">
        <f>IF(C3="","",IFERROR(L3/K3,0))</f>
        <v/>
      </c>
      <c r="N3" s="4">
        <f>IF(C3="","",K3-L3)</f>
        <v/>
      </c>
      <c r="O3" s="6">
        <f>IF(C3="","",IF(M3&gt;1,"Quá tải - cần chuyển bớt việc",IF(M3&gt;=0.9,"Kín lịch - không còn chỗ xoay",IF(M3&lt;0.6,"Còn trống nhiều","Tải hợp lý"))))</f>
        <v/>
      </c>
    </row>
    <row r="4">
      <c r="A4" s="2" t="n">
        <v>3</v>
      </c>
      <c r="B4" s="3" t="inlineStr">
        <is>
          <t>Tuần 31/2026</t>
        </is>
      </c>
      <c r="C4" s="3" t="inlineStr">
        <is>
          <t>Trần Thu Hà</t>
        </is>
      </c>
      <c r="D4" s="3" t="inlineStr">
        <is>
          <t>Chuyên viên nhân sự</t>
        </is>
      </c>
      <c r="E4" s="3" t="inlineStr">
        <is>
          <t>Hành chính nhân sự</t>
        </is>
      </c>
      <c r="F4" s="2" t="n">
        <v>4</v>
      </c>
      <c r="G4" s="2" t="n">
        <v>4</v>
      </c>
      <c r="H4" s="2" t="n">
        <v>3</v>
      </c>
      <c r="I4" s="2" t="n">
        <v>4</v>
      </c>
      <c r="J4" s="2" t="n">
        <v>3</v>
      </c>
      <c r="K4" s="2" t="n">
        <v>30</v>
      </c>
      <c r="L4" s="4">
        <f>IF(C4="","",SUM(F4:J4))</f>
        <v/>
      </c>
      <c r="M4" s="5">
        <f>IF(C4="","",IFERROR(L4/K4,0))</f>
        <v/>
      </c>
      <c r="N4" s="4">
        <f>IF(C4="","",K4-L4)</f>
        <v/>
      </c>
      <c r="O4" s="6">
        <f>IF(C4="","",IF(M4&gt;1,"Quá tải - cần chuyển bớt việc",IF(M4&gt;=0.9,"Kín lịch - không còn chỗ xoay",IF(M4&lt;0.6,"Còn trống nhiều","Tải hợp lý"))))</f>
        <v/>
      </c>
    </row>
    <row r="5">
      <c r="A5" s="2" t="n">
        <v>4</v>
      </c>
      <c r="B5" s="3" t="inlineStr">
        <is>
          <t>Tuần 31/2026</t>
        </is>
      </c>
      <c r="C5" s="3" t="inlineStr">
        <is>
          <t>Đỗ Hoàng Nam</t>
        </is>
      </c>
      <c r="D5" s="3" t="inlineStr">
        <is>
          <t>Quản lý kho</t>
        </is>
      </c>
      <c r="E5" s="3" t="inlineStr">
        <is>
          <t>Kho vận</t>
        </is>
      </c>
      <c r="F5" s="2" t="n">
        <v>7</v>
      </c>
      <c r="G5" s="2" t="n">
        <v>7</v>
      </c>
      <c r="H5" s="2" t="n">
        <v>7</v>
      </c>
      <c r="I5" s="2" t="n">
        <v>7</v>
      </c>
      <c r="J5" s="2" t="n">
        <v>6</v>
      </c>
      <c r="K5" s="2" t="n">
        <v>34</v>
      </c>
      <c r="L5" s="4">
        <f>IF(C5="","",SUM(F5:J5))</f>
        <v/>
      </c>
      <c r="M5" s="5">
        <f>IF(C5="","",IFERROR(L5/K5,0))</f>
        <v/>
      </c>
      <c r="N5" s="4">
        <f>IF(C5="","",K5-L5)</f>
        <v/>
      </c>
      <c r="O5" s="6">
        <f>IF(C5="","",IF(M5&gt;1,"Quá tải - cần chuyển bớt việc",IF(M5&gt;=0.9,"Kín lịch - không còn chỗ xoay",IF(M5&lt;0.6,"Còn trống nhiều","Tải hợp lý"))))</f>
        <v/>
      </c>
    </row>
    <row r="6">
      <c r="A6" s="2" t="n">
        <v>5</v>
      </c>
      <c r="B6" s="3" t="inlineStr">
        <is>
          <t>Tuần 31/2026</t>
        </is>
      </c>
      <c r="C6" s="3" t="inlineStr">
        <is>
          <t>Phạm Thị Lan</t>
        </is>
      </c>
      <c r="D6" s="3" t="inlineStr">
        <is>
          <t>Kỹ sư dự án</t>
        </is>
      </c>
      <c r="E6" s="3" t="inlineStr">
        <is>
          <t>Kỹ thuật</t>
        </is>
      </c>
      <c r="F6" s="2" t="n">
        <v>8</v>
      </c>
      <c r="G6" s="2" t="n">
        <v>8</v>
      </c>
      <c r="H6" s="2" t="n">
        <v>8</v>
      </c>
      <c r="I6" s="2" t="n">
        <v>6</v>
      </c>
      <c r="J6" s="2" t="n">
        <v>6</v>
      </c>
      <c r="K6" s="2" t="n">
        <v>30</v>
      </c>
      <c r="L6" s="4">
        <f>IF(C6="","",SUM(F6:J6))</f>
        <v/>
      </c>
      <c r="M6" s="5">
        <f>IF(C6="","",IFERROR(L6/K6,0))</f>
        <v/>
      </c>
      <c r="N6" s="4">
        <f>IF(C6="","",K6-L6)</f>
        <v/>
      </c>
      <c r="O6" s="6">
        <f>IF(C6="","",IF(M6&gt;1,"Quá tải - cần chuyển bớt việc",IF(M6&gt;=0.9,"Kín lịch - không còn chỗ xoay",IF(M6&lt;0.6,"Còn trống nhiều","Tải hợp lý"))))</f>
        <v/>
      </c>
    </row>
    <row r="7">
      <c r="A7" s="2" t="n">
        <v>6</v>
      </c>
      <c r="B7" s="3" t="inlineStr">
        <is>
          <t>Tuần 31/2026</t>
        </is>
      </c>
      <c r="C7" s="3" t="inlineStr">
        <is>
          <t>Vũ Minh Châu</t>
        </is>
      </c>
      <c r="D7" s="3" t="inlineStr">
        <is>
          <t>Kế toán tổng hợp (bán thời gian)</t>
        </is>
      </c>
      <c r="E7" s="3" t="inlineStr">
        <is>
          <t>Kế toán</t>
        </is>
      </c>
      <c r="F7" s="2" t="n">
        <v>4</v>
      </c>
      <c r="G7" s="2" t="n">
        <v>4</v>
      </c>
      <c r="H7" s="2" t="n">
        <v>0</v>
      </c>
      <c r="I7" s="2" t="n">
        <v>4</v>
      </c>
      <c r="J7" s="2" t="n">
        <v>4</v>
      </c>
      <c r="K7" s="2" t="n">
        <v>16</v>
      </c>
      <c r="L7" s="4">
        <f>IF(C7="","",SUM(F7:J7))</f>
        <v/>
      </c>
      <c r="M7" s="5">
        <f>IF(C7="","",IFERROR(L7/K7,0))</f>
        <v/>
      </c>
      <c r="N7" s="4">
        <f>IF(C7="","",K7-L7)</f>
        <v/>
      </c>
      <c r="O7" s="6">
        <f>IF(C7="","",IF(M7&gt;1,"Quá tải - cần chuyển bớt việc",IF(M7&gt;=0.9,"Kín lịch - không còn chỗ xoay",IF(M7&lt;0.6,"Còn trống nhiều","Tải hợp lý"))))</f>
        <v/>
      </c>
    </row>
    <row r="8">
      <c r="A8" s="2" t="n"/>
      <c r="B8" s="3" t="n"/>
      <c r="C8" s="3" t="n"/>
      <c r="D8" s="3" t="n"/>
      <c r="E8" s="3" t="n"/>
      <c r="F8" s="2" t="n"/>
      <c r="G8" s="2" t="n"/>
      <c r="H8" s="2" t="n"/>
      <c r="I8" s="2" t="n"/>
      <c r="J8" s="2" t="n"/>
      <c r="K8" s="2" t="n"/>
      <c r="L8" s="4">
        <f>IF(C8="","",SUM(F8:J8))</f>
        <v/>
      </c>
      <c r="M8" s="5">
        <f>IF(C8="","",IFERROR(L8/K8,0))</f>
        <v/>
      </c>
      <c r="N8" s="4">
        <f>IF(C8="","",K8-L8)</f>
        <v/>
      </c>
      <c r="O8" s="6">
        <f>IF(C8="","",IF(M8&gt;1,"Quá tải - cần chuyển bớt việc",IF(M8&gt;=0.9,"Kín lịch - không còn chỗ xoay",IF(M8&lt;0.6,"Còn trống nhiều","Tải hợp lý"))))</f>
        <v/>
      </c>
    </row>
    <row r="9">
      <c r="A9" s="2" t="n"/>
      <c r="B9" s="3" t="n"/>
      <c r="C9" s="3" t="n"/>
      <c r="D9" s="3" t="n"/>
      <c r="E9" s="3" t="n"/>
      <c r="F9" s="2" t="n"/>
      <c r="G9" s="2" t="n"/>
      <c r="H9" s="2" t="n"/>
      <c r="I9" s="2" t="n"/>
      <c r="J9" s="2" t="n"/>
      <c r="K9" s="2" t="n"/>
      <c r="L9" s="4">
        <f>IF(C9="","",SUM(F9:J9))</f>
        <v/>
      </c>
      <c r="M9" s="5">
        <f>IF(C9="","",IFERROR(L9/K9,0))</f>
        <v/>
      </c>
      <c r="N9" s="4">
        <f>IF(C9="","",K9-L9)</f>
        <v/>
      </c>
      <c r="O9" s="6">
        <f>IF(C9="","",IF(M9&gt;1,"Quá tải - cần chuyển bớt việc",IF(M9&gt;=0.9,"Kín lịch - không còn chỗ xoay",IF(M9&lt;0.6,"Còn trống nhiều","Tải hợp lý"))))</f>
        <v/>
      </c>
    </row>
    <row r="10">
      <c r="A10" s="2" t="n"/>
      <c r="B10" s="3" t="n"/>
      <c r="C10" s="3" t="n"/>
      <c r="D10" s="3" t="n"/>
      <c r="E10" s="3" t="n"/>
      <c r="F10" s="2" t="n"/>
      <c r="G10" s="2" t="n"/>
      <c r="H10" s="2" t="n"/>
      <c r="I10" s="2" t="n"/>
      <c r="J10" s="2" t="n"/>
      <c r="K10" s="2" t="n"/>
      <c r="L10" s="4">
        <f>IF(C10="","",SUM(F10:J10))</f>
        <v/>
      </c>
      <c r="M10" s="5">
        <f>IF(C10="","",IFERROR(L10/K10,0))</f>
        <v/>
      </c>
      <c r="N10" s="4">
        <f>IF(C10="","",K10-L10)</f>
        <v/>
      </c>
      <c r="O10" s="6">
        <f>IF(C10="","",IF(M10&gt;1,"Quá tải - cần chuyển bớt việc",IF(M10&gt;=0.9,"Kín lịch - không còn chỗ xoay",IF(M10&lt;0.6,"Còn trống nhiều","Tải hợp lý"))))</f>
        <v/>
      </c>
    </row>
    <row r="11">
      <c r="A11" s="2" t="n"/>
      <c r="B11" s="3" t="n"/>
      <c r="C11" s="3" t="n"/>
      <c r="D11" s="3" t="n"/>
      <c r="E11" s="3" t="n"/>
      <c r="F11" s="2" t="n"/>
      <c r="G11" s="2" t="n"/>
      <c r="H11" s="2" t="n"/>
      <c r="I11" s="2" t="n"/>
      <c r="J11" s="2" t="n"/>
      <c r="K11" s="2" t="n"/>
      <c r="L11" s="4">
        <f>IF(C11="","",SUM(F11:J11))</f>
        <v/>
      </c>
      <c r="M11" s="5">
        <f>IF(C11="","",IFERROR(L11/K11,0))</f>
        <v/>
      </c>
      <c r="N11" s="4">
        <f>IF(C11="","",K11-L11)</f>
        <v/>
      </c>
      <c r="O11" s="6">
        <f>IF(C11="","",IF(M11&gt;1,"Quá tải - cần chuyển bớt việc",IF(M11&gt;=0.9,"Kín lịch - không còn chỗ xoay",IF(M11&lt;0.6,"Còn trống nhiều","Tải hợp lý"))))</f>
        <v/>
      </c>
    </row>
    <row r="12">
      <c r="A12" s="2" t="n"/>
      <c r="B12" s="3" t="n"/>
      <c r="C12" s="3" t="n"/>
      <c r="D12" s="3" t="n"/>
      <c r="E12" s="3" t="n"/>
      <c r="F12" s="2" t="n"/>
      <c r="G12" s="2" t="n"/>
      <c r="H12" s="2" t="n"/>
      <c r="I12" s="2" t="n"/>
      <c r="J12" s="2" t="n"/>
      <c r="K12" s="2" t="n"/>
      <c r="L12" s="4">
        <f>IF(C12="","",SUM(F12:J12))</f>
        <v/>
      </c>
      <c r="M12" s="5">
        <f>IF(C12="","",IFERROR(L12/K12,0))</f>
        <v/>
      </c>
      <c r="N12" s="4">
        <f>IF(C12="","",K12-L12)</f>
        <v/>
      </c>
      <c r="O12" s="6">
        <f>IF(C12="","",IF(M12&gt;1,"Quá tải - cần chuyển bớt việc",IF(M12&gt;=0.9,"Kín lịch - không còn chỗ xoay",IF(M12&lt;0.6,"Còn trống nhiều","Tải hợp lý"))))</f>
        <v/>
      </c>
    </row>
    <row r="13">
      <c r="A13" s="2" t="n"/>
      <c r="B13" s="3" t="n"/>
      <c r="C13" s="3" t="n"/>
      <c r="D13" s="3" t="n"/>
      <c r="E13" s="3" t="n"/>
      <c r="F13" s="2" t="n"/>
      <c r="G13" s="2" t="n"/>
      <c r="H13" s="2" t="n"/>
      <c r="I13" s="2" t="n"/>
      <c r="J13" s="2" t="n"/>
      <c r="K13" s="2" t="n"/>
      <c r="L13" s="4">
        <f>IF(C13="","",SUM(F13:J13))</f>
        <v/>
      </c>
      <c r="M13" s="5">
        <f>IF(C13="","",IFERROR(L13/K13,0))</f>
        <v/>
      </c>
      <c r="N13" s="4">
        <f>IF(C13="","",K13-L13)</f>
        <v/>
      </c>
      <c r="O13" s="6">
        <f>IF(C13="","",IF(M13&gt;1,"Quá tải - cần chuyển bớt việc",IF(M13&gt;=0.9,"Kín lịch - không còn chỗ xoay",IF(M13&lt;0.6,"Còn trống nhiều","Tải hợp lý"))))</f>
        <v/>
      </c>
    </row>
    <row r="14">
      <c r="A14" s="2" t="n"/>
      <c r="B14" s="3" t="n"/>
      <c r="C14" s="3" t="n"/>
      <c r="D14" s="3" t="n"/>
      <c r="E14" s="3" t="n"/>
      <c r="F14" s="2" t="n"/>
      <c r="G14" s="2" t="n"/>
      <c r="H14" s="2" t="n"/>
      <c r="I14" s="2" t="n"/>
      <c r="J14" s="2" t="n"/>
      <c r="K14" s="2" t="n"/>
      <c r="L14" s="4">
        <f>IF(C14="","",SUM(F14:J14))</f>
        <v/>
      </c>
      <c r="M14" s="5">
        <f>IF(C14="","",IFERROR(L14/K14,0))</f>
        <v/>
      </c>
      <c r="N14" s="4">
        <f>IF(C14="","",K14-L14)</f>
        <v/>
      </c>
      <c r="O14" s="6">
        <f>IF(C14="","",IF(M14&gt;1,"Quá tải - cần chuyển bớt việc",IF(M14&gt;=0.9,"Kín lịch - không còn chỗ xoay",IF(M14&lt;0.6,"Còn trống nhiều","Tải hợp lý"))))</f>
        <v/>
      </c>
    </row>
    <row r="15">
      <c r="A15" s="2" t="n"/>
      <c r="B15" s="3" t="n"/>
      <c r="C15" s="3" t="n"/>
      <c r="D15" s="3" t="n"/>
      <c r="E15" s="3" t="n"/>
      <c r="F15" s="2" t="n"/>
      <c r="G15" s="2" t="n"/>
      <c r="H15" s="2" t="n"/>
      <c r="I15" s="2" t="n"/>
      <c r="J15" s="2" t="n"/>
      <c r="K15" s="2" t="n"/>
      <c r="L15" s="4">
        <f>IF(C15="","",SUM(F15:J15))</f>
        <v/>
      </c>
      <c r="M15" s="5">
        <f>IF(C15="","",IFERROR(L15/K15,0))</f>
        <v/>
      </c>
      <c r="N15" s="4">
        <f>IF(C15="","",K15-L15)</f>
        <v/>
      </c>
      <c r="O15" s="6">
        <f>IF(C15="","",IF(M15&gt;1,"Quá tải - cần chuyển bớt việc",IF(M15&gt;=0.9,"Kín lịch - không còn chỗ xoay",IF(M15&lt;0.6,"Còn trống nhiều","Tải hợp lý"))))</f>
        <v/>
      </c>
    </row>
    <row r="16">
      <c r="A16" s="2" t="n"/>
      <c r="B16" s="3" t="n"/>
      <c r="C16" s="3" t="n"/>
      <c r="D16" s="3" t="n"/>
      <c r="E16" s="3" t="n"/>
      <c r="F16" s="2" t="n"/>
      <c r="G16" s="2" t="n"/>
      <c r="H16" s="2" t="n"/>
      <c r="I16" s="2" t="n"/>
      <c r="J16" s="2" t="n"/>
      <c r="K16" s="2" t="n"/>
      <c r="L16" s="4">
        <f>IF(C16="","",SUM(F16:J16))</f>
        <v/>
      </c>
      <c r="M16" s="5">
        <f>IF(C16="","",IFERROR(L16/K16,0))</f>
        <v/>
      </c>
      <c r="N16" s="4">
        <f>IF(C16="","",K16-L16)</f>
        <v/>
      </c>
      <c r="O16" s="6">
        <f>IF(C16="","",IF(M16&gt;1,"Quá tải - cần chuyển bớt việc",IF(M16&gt;=0.9,"Kín lịch - không còn chỗ xoay",IF(M16&lt;0.6,"Còn trống nhiều","Tải hợp lý"))))</f>
        <v/>
      </c>
    </row>
    <row r="17">
      <c r="A17" s="2" t="n"/>
      <c r="B17" s="3" t="n"/>
      <c r="C17" s="3" t="n"/>
      <c r="D17" s="3" t="n"/>
      <c r="E17" s="3" t="n"/>
      <c r="F17" s="2" t="n"/>
      <c r="G17" s="2" t="n"/>
      <c r="H17" s="2" t="n"/>
      <c r="I17" s="2" t="n"/>
      <c r="J17" s="2" t="n"/>
      <c r="K17" s="2" t="n"/>
      <c r="L17" s="4">
        <f>IF(C17="","",SUM(F17:J17))</f>
        <v/>
      </c>
      <c r="M17" s="5">
        <f>IF(C17="","",IFERROR(L17/K17,0))</f>
        <v/>
      </c>
      <c r="N17" s="4">
        <f>IF(C17="","",K17-L17)</f>
        <v/>
      </c>
      <c r="O17" s="6">
        <f>IF(C17="","",IF(M17&gt;1,"Quá tải - cần chuyển bớt việc",IF(M17&gt;=0.9,"Kín lịch - không còn chỗ xoay",IF(M17&lt;0.6,"Còn trống nhiều","Tải hợp lý"))))</f>
        <v/>
      </c>
    </row>
    <row r="18">
      <c r="A18" s="2" t="n"/>
      <c r="B18" s="3" t="n"/>
      <c r="C18" s="3" t="n"/>
      <c r="D18" s="3" t="n"/>
      <c r="E18" s="3" t="n"/>
      <c r="F18" s="2" t="n"/>
      <c r="G18" s="2" t="n"/>
      <c r="H18" s="2" t="n"/>
      <c r="I18" s="2" t="n"/>
      <c r="J18" s="2" t="n"/>
      <c r="K18" s="2" t="n"/>
      <c r="L18" s="4">
        <f>IF(C18="","",SUM(F18:J18))</f>
        <v/>
      </c>
      <c r="M18" s="5">
        <f>IF(C18="","",IFERROR(L18/K18,0))</f>
        <v/>
      </c>
      <c r="N18" s="4">
        <f>IF(C18="","",K18-L18)</f>
        <v/>
      </c>
      <c r="O18" s="6">
        <f>IF(C18="","",IF(M18&gt;1,"Quá tải - cần chuyển bớt việc",IF(M18&gt;=0.9,"Kín lịch - không còn chỗ xoay",IF(M18&lt;0.6,"Còn trống nhiều","Tải hợp lý"))))</f>
        <v/>
      </c>
    </row>
    <row r="19">
      <c r="A19" s="2" t="n"/>
      <c r="B19" s="3" t="n"/>
      <c r="C19" s="3" t="n"/>
      <c r="D19" s="3" t="n"/>
      <c r="E19" s="3" t="n"/>
      <c r="F19" s="2" t="n"/>
      <c r="G19" s="2" t="n"/>
      <c r="H19" s="2" t="n"/>
      <c r="I19" s="2" t="n"/>
      <c r="J19" s="2" t="n"/>
      <c r="K19" s="2" t="n"/>
      <c r="L19" s="4">
        <f>IF(C19="","",SUM(F19:J19))</f>
        <v/>
      </c>
      <c r="M19" s="5">
        <f>IF(C19="","",IFERROR(L19/K19,0))</f>
        <v/>
      </c>
      <c r="N19" s="4">
        <f>IF(C19="","",K19-L19)</f>
        <v/>
      </c>
      <c r="O19" s="6">
        <f>IF(C19="","",IF(M19&gt;1,"Quá tải - cần chuyển bớt việc",IF(M19&gt;=0.9,"Kín lịch - không còn chỗ xoay",IF(M19&lt;0.6,"Còn trống nhiều","Tải hợp lý"))))</f>
        <v/>
      </c>
    </row>
    <row r="20">
      <c r="A20" s="2" t="n"/>
      <c r="B20" s="3" t="n"/>
      <c r="C20" s="3" t="n"/>
      <c r="D20" s="3" t="n"/>
      <c r="E20" s="3" t="n"/>
      <c r="F20" s="2" t="n"/>
      <c r="G20" s="2" t="n"/>
      <c r="H20" s="2" t="n"/>
      <c r="I20" s="2" t="n"/>
      <c r="J20" s="2" t="n"/>
      <c r="K20" s="2" t="n"/>
      <c r="L20" s="4">
        <f>IF(C20="","",SUM(F20:J20))</f>
        <v/>
      </c>
      <c r="M20" s="5">
        <f>IF(C20="","",IFERROR(L20/K20,0))</f>
        <v/>
      </c>
      <c r="N20" s="4">
        <f>IF(C20="","",K20-L20)</f>
        <v/>
      </c>
      <c r="O20" s="6">
        <f>IF(C20="","",IF(M20&gt;1,"Quá tải - cần chuyển bớt việc",IF(M20&gt;=0.9,"Kín lịch - không còn chỗ xoay",IF(M20&lt;0.6,"Còn trống nhiều","Tải hợp lý"))))</f>
        <v/>
      </c>
    </row>
    <row r="21">
      <c r="A21" s="2" t="n"/>
      <c r="B21" s="3" t="n"/>
      <c r="C21" s="3" t="n"/>
      <c r="D21" s="3" t="n"/>
      <c r="E21" s="3" t="n"/>
      <c r="F21" s="2" t="n"/>
      <c r="G21" s="2" t="n"/>
      <c r="H21" s="2" t="n"/>
      <c r="I21" s="2" t="n"/>
      <c r="J21" s="2" t="n"/>
      <c r="K21" s="2" t="n"/>
      <c r="L21" s="4">
        <f>IF(C21="","",SUM(F21:J21))</f>
        <v/>
      </c>
      <c r="M21" s="5">
        <f>IF(C21="","",IFERROR(L21/K21,0))</f>
        <v/>
      </c>
      <c r="N21" s="4">
        <f>IF(C21="","",K21-L21)</f>
        <v/>
      </c>
      <c r="O21" s="6">
        <f>IF(C21="","",IF(M21&gt;1,"Quá tải - cần chuyển bớt việc",IF(M21&gt;=0.9,"Kín lịch - không còn chỗ xoay",IF(M21&lt;0.6,"Còn trống nhiều","Tải hợp lý"))))</f>
        <v/>
      </c>
    </row>
    <row r="22">
      <c r="A22" s="2" t="n"/>
      <c r="B22" s="3" t="n"/>
      <c r="C22" s="3" t="n"/>
      <c r="D22" s="3" t="n"/>
      <c r="E22" s="3" t="n"/>
      <c r="F22" s="2" t="n"/>
      <c r="G22" s="2" t="n"/>
      <c r="H22" s="2" t="n"/>
      <c r="I22" s="2" t="n"/>
      <c r="J22" s="2" t="n"/>
      <c r="K22" s="2" t="n"/>
      <c r="L22" s="4">
        <f>IF(C22="","",SUM(F22:J22))</f>
        <v/>
      </c>
      <c r="M22" s="5">
        <f>IF(C22="","",IFERROR(L22/K22,0))</f>
        <v/>
      </c>
      <c r="N22" s="4">
        <f>IF(C22="","",K22-L22)</f>
        <v/>
      </c>
      <c r="O22" s="6">
        <f>IF(C22="","",IF(M22&gt;1,"Quá tải - cần chuyển bớt việc",IF(M22&gt;=0.9,"Kín lịch - không còn chỗ xoay",IF(M22&lt;0.6,"Còn trống nhiều","Tải hợp lý"))))</f>
        <v/>
      </c>
    </row>
    <row r="23">
      <c r="A23" s="2" t="n"/>
      <c r="B23" s="3" t="n"/>
      <c r="C23" s="3" t="n"/>
      <c r="D23" s="3" t="n"/>
      <c r="E23" s="3" t="n"/>
      <c r="F23" s="2" t="n"/>
      <c r="G23" s="2" t="n"/>
      <c r="H23" s="2" t="n"/>
      <c r="I23" s="2" t="n"/>
      <c r="J23" s="2" t="n"/>
      <c r="K23" s="2" t="n"/>
      <c r="L23" s="4">
        <f>IF(C23="","",SUM(F23:J23))</f>
        <v/>
      </c>
      <c r="M23" s="5">
        <f>IF(C23="","",IFERROR(L23/K23,0))</f>
        <v/>
      </c>
      <c r="N23" s="4">
        <f>IF(C23="","",K23-L23)</f>
        <v/>
      </c>
      <c r="O23" s="6">
        <f>IF(C23="","",IF(M23&gt;1,"Quá tải - cần chuyển bớt việc",IF(M23&gt;=0.9,"Kín lịch - không còn chỗ xoay",IF(M23&lt;0.6,"Còn trống nhiều","Tải hợp lý"))))</f>
        <v/>
      </c>
    </row>
    <row r="24">
      <c r="A24" s="2" t="n"/>
      <c r="B24" s="3" t="n"/>
      <c r="C24" s="3" t="n"/>
      <c r="D24" s="3" t="n"/>
      <c r="E24" s="3" t="n"/>
      <c r="F24" s="2" t="n"/>
      <c r="G24" s="2" t="n"/>
      <c r="H24" s="2" t="n"/>
      <c r="I24" s="2" t="n"/>
      <c r="J24" s="2" t="n"/>
      <c r="K24" s="2" t="n"/>
      <c r="L24" s="4">
        <f>IF(C24="","",SUM(F24:J24))</f>
        <v/>
      </c>
      <c r="M24" s="5">
        <f>IF(C24="","",IFERROR(L24/K24,0))</f>
        <v/>
      </c>
      <c r="N24" s="4">
        <f>IF(C24="","",K24-L24)</f>
        <v/>
      </c>
      <c r="O24" s="6">
        <f>IF(C24="","",IF(M24&gt;1,"Quá tải - cần chuyển bớt việc",IF(M24&gt;=0.9,"Kín lịch - không còn chỗ xoay",IF(M24&lt;0.6,"Còn trống nhiều","Tải hợp lý"))))</f>
        <v/>
      </c>
    </row>
    <row r="25">
      <c r="A25" s="2" t="n"/>
      <c r="B25" s="3" t="n"/>
      <c r="C25" s="3" t="n"/>
      <c r="D25" s="3" t="n"/>
      <c r="E25" s="3" t="n"/>
      <c r="F25" s="2" t="n"/>
      <c r="G25" s="2" t="n"/>
      <c r="H25" s="2" t="n"/>
      <c r="I25" s="2" t="n"/>
      <c r="J25" s="2" t="n"/>
      <c r="K25" s="2" t="n"/>
      <c r="L25" s="4">
        <f>IF(C25="","",SUM(F25:J25))</f>
        <v/>
      </c>
      <c r="M25" s="5">
        <f>IF(C25="","",IFERROR(L25/K25,0))</f>
        <v/>
      </c>
      <c r="N25" s="4">
        <f>IF(C25="","",K25-L25)</f>
        <v/>
      </c>
      <c r="O25" s="6">
        <f>IF(C25="","",IF(M25&gt;1,"Quá tải - cần chuyển bớt việc",IF(M25&gt;=0.9,"Kín lịch - không còn chỗ xoay",IF(M25&lt;0.6,"Còn trống nhiều","Tải hợp lý"))))</f>
        <v/>
      </c>
    </row>
    <row r="26">
      <c r="A26" s="2" t="n"/>
      <c r="B26" s="3" t="n"/>
      <c r="C26" s="3" t="n"/>
      <c r="D26" s="3" t="n"/>
      <c r="E26" s="3" t="n"/>
      <c r="F26" s="2" t="n"/>
      <c r="G26" s="2" t="n"/>
      <c r="H26" s="2" t="n"/>
      <c r="I26" s="2" t="n"/>
      <c r="J26" s="2" t="n"/>
      <c r="K26" s="2" t="n"/>
      <c r="L26" s="4">
        <f>IF(C26="","",SUM(F26:J26))</f>
        <v/>
      </c>
      <c r="M26" s="5">
        <f>IF(C26="","",IFERROR(L26/K26,0))</f>
        <v/>
      </c>
      <c r="N26" s="4">
        <f>IF(C26="","",K26-L26)</f>
        <v/>
      </c>
      <c r="O26" s="6">
        <f>IF(C26="","",IF(M26&gt;1,"Quá tải - cần chuyển bớt việc",IF(M26&gt;=0.9,"Kín lịch - không còn chỗ xoay",IF(M26&lt;0.6,"Còn trống nhiều","Tải hợp lý"))))</f>
        <v/>
      </c>
    </row>
    <row r="27">
      <c r="A27" s="2" t="n"/>
      <c r="B27" s="3" t="n"/>
      <c r="C27" s="3" t="n"/>
      <c r="D27" s="3" t="n"/>
      <c r="E27" s="3" t="n"/>
      <c r="F27" s="2" t="n"/>
      <c r="G27" s="2" t="n"/>
      <c r="H27" s="2" t="n"/>
      <c r="I27" s="2" t="n"/>
      <c r="J27" s="2" t="n"/>
      <c r="K27" s="2" t="n"/>
      <c r="L27" s="4">
        <f>IF(C27="","",SUM(F27:J27))</f>
        <v/>
      </c>
      <c r="M27" s="5">
        <f>IF(C27="","",IFERROR(L27/K27,0))</f>
        <v/>
      </c>
      <c r="N27" s="4">
        <f>IF(C27="","",K27-L27)</f>
        <v/>
      </c>
      <c r="O27" s="6">
        <f>IF(C27="","",IF(M27&gt;1,"Quá tải - cần chuyển bớt việc",IF(M27&gt;=0.9,"Kín lịch - không còn chỗ xoay",IF(M27&lt;0.6,"Còn trống nhiều","Tải hợp lý"))))</f>
        <v/>
      </c>
    </row>
    <row r="28">
      <c r="A28" s="2" t="n"/>
      <c r="B28" s="3" t="n"/>
      <c r="C28" s="3" t="n"/>
      <c r="D28" s="3" t="n"/>
      <c r="E28" s="3" t="n"/>
      <c r="F28" s="2" t="n"/>
      <c r="G28" s="2" t="n"/>
      <c r="H28" s="2" t="n"/>
      <c r="I28" s="2" t="n"/>
      <c r="J28" s="2" t="n"/>
      <c r="K28" s="2" t="n"/>
      <c r="L28" s="4">
        <f>IF(C28="","",SUM(F28:J28))</f>
        <v/>
      </c>
      <c r="M28" s="5">
        <f>IF(C28="","",IFERROR(L28/K28,0))</f>
        <v/>
      </c>
      <c r="N28" s="4">
        <f>IF(C28="","",K28-L28)</f>
        <v/>
      </c>
      <c r="O28" s="6">
        <f>IF(C28="","",IF(M28&gt;1,"Quá tải - cần chuyển bớt việc",IF(M28&gt;=0.9,"Kín lịch - không còn chỗ xoay",IF(M28&lt;0.6,"Còn trống nhiều","Tải hợp lý"))))</f>
        <v/>
      </c>
    </row>
    <row r="29">
      <c r="A29" s="2" t="n"/>
      <c r="B29" s="3" t="n"/>
      <c r="C29" s="3" t="n"/>
      <c r="D29" s="3" t="n"/>
      <c r="E29" s="3" t="n"/>
      <c r="F29" s="2" t="n"/>
      <c r="G29" s="2" t="n"/>
      <c r="H29" s="2" t="n"/>
      <c r="I29" s="2" t="n"/>
      <c r="J29" s="2" t="n"/>
      <c r="K29" s="2" t="n"/>
      <c r="L29" s="4">
        <f>IF(C29="","",SUM(F29:J29))</f>
        <v/>
      </c>
      <c r="M29" s="5">
        <f>IF(C29="","",IFERROR(L29/K29,0))</f>
        <v/>
      </c>
      <c r="N29" s="4">
        <f>IF(C29="","",K29-L29)</f>
        <v/>
      </c>
      <c r="O29" s="6">
        <f>IF(C29="","",IF(M29&gt;1,"Quá tải - cần chuyển bớt việc",IF(M29&gt;=0.9,"Kín lịch - không còn chỗ xoay",IF(M29&lt;0.6,"Còn trống nhiều","Tải hợp lý"))))</f>
        <v/>
      </c>
    </row>
    <row r="30">
      <c r="A30" s="2" t="n"/>
      <c r="B30" s="3" t="n"/>
      <c r="C30" s="3" t="n"/>
      <c r="D30" s="3" t="n"/>
      <c r="E30" s="3" t="n"/>
      <c r="F30" s="2" t="n"/>
      <c r="G30" s="2" t="n"/>
      <c r="H30" s="2" t="n"/>
      <c r="I30" s="2" t="n"/>
      <c r="J30" s="2" t="n"/>
      <c r="K30" s="2" t="n"/>
      <c r="L30" s="4">
        <f>IF(C30="","",SUM(F30:J30))</f>
        <v/>
      </c>
      <c r="M30" s="5">
        <f>IF(C30="","",IFERROR(L30/K30,0))</f>
        <v/>
      </c>
      <c r="N30" s="4">
        <f>IF(C30="","",K30-L30)</f>
        <v/>
      </c>
      <c r="O30" s="6">
        <f>IF(C30="","",IF(M30&gt;1,"Quá tải - cần chuyển bớt việc",IF(M30&gt;=0.9,"Kín lịch - không còn chỗ xoay",IF(M30&lt;0.6,"Còn trống nhiều","Tải hợp lý"))))</f>
        <v/>
      </c>
    </row>
    <row r="31">
      <c r="A31" s="2" t="n"/>
      <c r="B31" s="3" t="n"/>
      <c r="C31" s="3" t="n"/>
      <c r="D31" s="3" t="n"/>
      <c r="E31" s="3" t="n"/>
      <c r="F31" s="2" t="n"/>
      <c r="G31" s="2" t="n"/>
      <c r="H31" s="2" t="n"/>
      <c r="I31" s="2" t="n"/>
      <c r="J31" s="2" t="n"/>
      <c r="K31" s="2" t="n"/>
      <c r="L31" s="4">
        <f>IF(C31="","",SUM(F31:J31))</f>
        <v/>
      </c>
      <c r="M31" s="5">
        <f>IF(C31="","",IFERROR(L31/K31,0))</f>
        <v/>
      </c>
      <c r="N31" s="4">
        <f>IF(C31="","",K31-L31)</f>
        <v/>
      </c>
      <c r="O31" s="6">
        <f>IF(C31="","",IF(M31&gt;1,"Quá tải - cần chuyển bớt việc",IF(M31&gt;=0.9,"Kín lịch - không còn chỗ xoay",IF(M31&lt;0.6,"Còn trống nhiều","Tải hợp lý"))))</f>
        <v/>
      </c>
    </row>
    <row r="32">
      <c r="A32" s="2" t="n"/>
      <c r="B32" s="3" t="n"/>
      <c r="C32" s="3" t="n"/>
      <c r="D32" s="3" t="n"/>
      <c r="E32" s="3" t="n"/>
      <c r="F32" s="2" t="n"/>
      <c r="G32" s="2" t="n"/>
      <c r="H32" s="2" t="n"/>
      <c r="I32" s="2" t="n"/>
      <c r="J32" s="2" t="n"/>
      <c r="K32" s="2" t="n"/>
      <c r="L32" s="4">
        <f>IF(C32="","",SUM(F32:J32))</f>
        <v/>
      </c>
      <c r="M32" s="5">
        <f>IF(C32="","",IFERROR(L32/K32,0))</f>
        <v/>
      </c>
      <c r="N32" s="4">
        <f>IF(C32="","",K32-L32)</f>
        <v/>
      </c>
      <c r="O32" s="6">
        <f>IF(C32="","",IF(M32&gt;1,"Quá tải - cần chuyển bớt việc",IF(M32&gt;=0.9,"Kín lịch - không còn chỗ xoay",IF(M32&lt;0.6,"Còn trống nhiều","Tải hợp lý"))))</f>
        <v/>
      </c>
    </row>
  </sheetData>
  <autoFilter ref="A1:O32"/>
  <dataValidations count="7">
    <dataValidation sqref="E2:E32" showDropDown="0" showInputMessage="0" showErrorMessage="0" allowBlank="1" errorTitle="Sai định dạng" error="Giá trị không hợp lệ cho cột này." type="list">
      <formula1>"Kinh doanh,Marketing,Kế toán,Hành chính nhân sự,Sản xuất,Kỹ thuật,Kho vận"</formula1>
    </dataValidation>
    <dataValidation sqref="F2:F32" showDropDown="0" showInputMessage="0" showErrorMessage="0" allowBlank="1" errorTitle="Sai định dạng" error="Giá trị không hợp lệ cho cột này." type="decimal" operator="between">
      <formula1>0</formula1>
      <formula2>12</formula2>
    </dataValidation>
    <dataValidation sqref="G2:G32" showDropDown="0" showInputMessage="0" showErrorMessage="0" allowBlank="1" errorTitle="Sai định dạng" error="Giá trị không hợp lệ cho cột này." type="decimal" operator="between">
      <formula1>0</formula1>
      <formula2>12</formula2>
    </dataValidation>
    <dataValidation sqref="H2:H32" showDropDown="0" showInputMessage="0" showErrorMessage="0" allowBlank="1" errorTitle="Sai định dạng" error="Giá trị không hợp lệ cho cột này." type="decimal" operator="between">
      <formula1>0</formula1>
      <formula2>12</formula2>
    </dataValidation>
    <dataValidation sqref="I2:I32" showDropDown="0" showInputMessage="0" showErrorMessage="0" allowBlank="1" errorTitle="Sai định dạng" error="Giá trị không hợp lệ cho cột này." type="decimal" operator="between">
      <formula1>0</formula1>
      <formula2>12</formula2>
    </dataValidation>
    <dataValidation sqref="J2:J32" showDropDown="0" showInputMessage="0" showErrorMessage="0" allowBlank="1" errorTitle="Sai định dạng" error="Giá trị không hợp lệ cho cột này." type="decimal" operator="between">
      <formula1>0</formula1>
      <formula2>12</formula2>
    </dataValidation>
    <dataValidation sqref="K2:K32" showDropDown="0" showInputMessage="0" showErrorMessage="0" allowBlank="1" errorTitle="Sai định dạng" error="Giá trị không hợp lệ cho cột này." type="decimal" operator="between">
      <formula1>0</formula1>
      <formula2>60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7" t="inlineStr">
        <is>
          <t>Mẫu Excel lịch làm việc nhóm theo tuần (kiểm tải từng người)</t>
        </is>
      </c>
    </row>
    <row r="2">
      <c r="B2" s="8" t="inlineStr"/>
    </row>
    <row r="3">
      <c r="B3" s="9" t="inlineStr">
        <is>
          <t>CÁCH DÙNG</t>
        </is>
      </c>
    </row>
    <row r="4">
      <c r="B4" s="10" t="inlineStr">
        <is>
          <t>1. Khai thành viên và quỹ giờ khả dụng</t>
        </is>
      </c>
    </row>
    <row r="5">
      <c r="B5" s="8" t="inlineStr">
        <is>
          <t xml:space="preserve">   Quỹ giờ khả dụng là số giờ thực sự dùng được cho công việc có kế hoạch, không phải số giờ có mặt. Trừ đi thời gian họp cố định, việc phát sinh và thời gian chuyển ngữ cảnh, con số thực tế với người làm toàn thời gian thường quanh mức ba mươi giờ chứ không phải bốn mươi.</t>
        </is>
      </c>
    </row>
    <row r="6">
      <c r="B6" s="10" t="inlineStr">
        <is>
          <t>2. Phân bổ giờ cho từng ngày</t>
        </is>
      </c>
    </row>
    <row r="7">
      <c r="B7" s="8" t="inlineStr">
        <is>
          <t xml:space="preserve">   Điền số giờ dự kiến dành cho công việc có kế hoạch của từng ngày. Nhìn theo cột dọc để phát hiện ngày nào cả nhóm cùng dồn tải — đó là ngày mà mọi thứ phát sinh sẽ đẩy nhau đổ vỡ dây chuyền.</t>
        </is>
      </c>
    </row>
    <row r="8">
      <c r="B8" s="10" t="inlineStr">
        <is>
          <t>3. Đọc tỷ lệ tải trước khi chốt lịch</t>
        </is>
      </c>
    </row>
    <row r="9">
      <c r="B9" s="8" t="inlineStr">
        <is>
          <t xml:space="preserve">   Dòng nào quá tải thì chuyển bớt việc sang dòng còn trống, đây là lúc rẻ nhất để cân lại. Chuyển việc giữa tuần luôn tốn hơn vì người nhận phải bắt đầu lại từ đầu phần bối cảnh.</t>
        </is>
      </c>
    </row>
    <row r="10">
      <c r="B10" s="10" t="inlineStr">
        <is>
          <t>4. Rà lại vào giữa tuần</t>
        </is>
      </c>
    </row>
    <row r="11">
      <c r="B11" s="8" t="inlineStr">
        <is>
          <t xml:space="preserve">   Việc phát sinh gần như luôn xuất hiện, và nó ăn vào phần giờ còn trống. Nếu giữa tuần mà cả nhóm đều hết phần trống, hãy chủ động lùi một đầu việc ít quan trọng thay vì để tuần kết thúc với vài việc dở dang.</t>
        </is>
      </c>
    </row>
    <row r="12">
      <c r="B12" s="8" t="inlineStr"/>
    </row>
    <row r="13">
      <c r="B13" s="9" t="inlineStr">
        <is>
          <t>CÔNG THỨC TRONG FILE</t>
        </is>
      </c>
    </row>
    <row r="14">
      <c r="B14" s="10" t="inlineStr">
        <is>
          <t>Tổng giờ phân bổ  —  =IF(C2="","",SUM(F2:J2))</t>
        </is>
      </c>
    </row>
    <row r="15">
      <c r="B15" s="8" t="inlineStr">
        <is>
          <t xml:space="preserve">   Cộng cả khối năm cột ngày của dòng. Viết bằng SUM trên vùng nên nhóm nào làm cả thứ bảy chỉ cần chèn thêm một cột vào giữa khối, Excel tự nới vùng và công thức không phải sửa.</t>
        </is>
      </c>
    </row>
    <row r="16">
      <c r="B16" s="10" t="inlineStr">
        <is>
          <t>Tỷ lệ tải  —  =IF(C2="","",IFERROR(L2/K2,0))</t>
        </is>
      </c>
    </row>
    <row r="17">
      <c r="B17" s="8" t="inlineStr">
        <is>
          <t xml:space="preserve">   Tổng giờ phân bổ chia quỹ giờ khả dụng của chính người đó. Vì mẫu số lấy theo từng dòng nên người bán thời gian và người đang nghỉ nửa tuần vẫn so sánh được với người khác. Bọc IFERROR cho dòng chưa khai quỹ giờ.</t>
        </is>
      </c>
    </row>
    <row r="18">
      <c r="B18" s="10" t="inlineStr">
        <is>
          <t>Giờ còn trống  —  =IF(C2="","",K2-L2)</t>
        </is>
      </c>
    </row>
    <row r="19">
      <c r="B19" s="8" t="inlineStr">
        <is>
          <t xml:space="preserve">   Số giờ còn nhận thêm được. Số âm nghĩa là đã phân quá quỹ giờ — cố ý không chặn về 0 vì độ lớn của số âm cho biết phải chuyển đi bao nhiêu giờ mới cân lại được.</t>
        </is>
      </c>
    </row>
    <row r="20">
      <c r="B20" s="10" t="inlineStr">
        <is>
          <t>Cảnh báo  —  =IF(C2="","",IF(M2&gt;1,"Quá tải - cần chuyển bớt việc",IF(M2&gt;=0.9,"Kín lịch - không còn chỗ xoay",IF(M2&lt;0.6,"Còn trống nhiều","Tải hợp lý"))))</t>
        </is>
      </c>
    </row>
    <row r="21">
      <c r="B21" s="8" t="inlineStr">
        <is>
          <t xml:space="preserve">   Ngưỡng 90% cho kín lịch đặt thấp hơn 100% có chủ ý: một tuần lấp đầy tới trần thì mọi việc phát sinh đều làm vỡ lịch. Nhánh còn trống nhiều nên đọc như một câu hỏi chứ không phải kết luận — có thể người đó thật sự rảnh, cũng có thể lịch chưa được điền đủ.</t>
        </is>
      </c>
    </row>
    <row r="22">
      <c r="B22" s="8" t="inlineStr"/>
    </row>
    <row r="23">
      <c r="B23" s="10" t="inlineStr">
        <is>
          <t>Bản cập nhật mới nhất và hướng dẫn chi tiết:</t>
        </is>
      </c>
    </row>
    <row r="24">
      <c r="B24" s="11" t="inlineStr">
        <is>
          <t>https://excel.nguyenvietloc.com/mau-excel/quan-ly-cong-viec/lich-lam-viec-nhom</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