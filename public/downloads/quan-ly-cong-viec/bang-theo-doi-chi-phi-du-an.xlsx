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i phí dự án" sheetId="1" state="visible" r:id="rId1"/>
    <sheet name="Hướng dẫn" sheetId="2" state="visible" r:id="rId2"/>
  </sheets>
  <definedNames>
    <definedName name="_xlnm._FilterDatabase" localSheetId="0" hidden="1">'Chi phí dự án'!$A$1:$M$42</definedName>
  </definedNames>
  <calcPr calcId="124519" fullCalcOnLoad="1"/>
</workbook>
</file>

<file path=xl/styles.xml><?xml version="1.0" encoding="utf-8"?>
<styleSheet xmlns="http://schemas.openxmlformats.org/spreadsheetml/2006/main">
  <numFmts count="5">
    <numFmt numFmtId="164" formatCode="#,##0.##"/>
    <numFmt numFmtId="165" formatCode="yyyy-mm-dd"/>
    <numFmt numFmtId="166" formatCode="dd/mm/yyyy"/>
    <numFmt numFmtId="167" formatCode="#,##0 &quot;₫&quot;"/>
    <numFmt numFmtId="168"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7" fontId="0" fillId="3" borderId="1" pivotButton="0" quotePrefix="0" xfId="0"/>
    <xf numFmtId="168"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quan-ly-cong-viec/bang-theo-doi-chi-phi-du-an" TargetMode="External" Id="rId1" /></Relationships>
</file>

<file path=xl/worksheets/sheet1.xml><?xml version="1.0" encoding="utf-8"?>
<worksheet xmlns="http://schemas.openxmlformats.org/spreadsheetml/2006/main">
  <sheetPr>
    <outlinePr summaryBelow="1" summaryRight="1"/>
    <pageSetUpPr/>
  </sheetPr>
  <dimension ref="A1:M42"/>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32" customWidth="1" min="3" max="3"/>
    <col width="18" customWidth="1" min="4" max="4"/>
    <col width="26" customWidth="1" min="5" max="5"/>
    <col width="13" customWidth="1" min="6" max="6"/>
    <col width="18" customWidth="1" min="7" max="7"/>
    <col width="18" customWidth="1" min="8" max="8"/>
    <col width="18" customWidth="1" min="9" max="9"/>
    <col width="18" customWidth="1" min="10" max="10"/>
    <col width="13" customWidth="1" min="11" max="11"/>
    <col width="18" customWidth="1" min="12" max="12"/>
    <col width="28" customWidth="1" min="13" max="13"/>
  </cols>
  <sheetData>
    <row r="1" ht="32" customHeight="1">
      <c r="A1" s="1" t="inlineStr">
        <is>
          <t>STT</t>
        </is>
      </c>
      <c r="B1" s="1" t="inlineStr">
        <is>
          <t>Mã dự án</t>
        </is>
      </c>
      <c r="C1" s="1" t="inlineStr">
        <is>
          <t>Hạng mục chi phí</t>
        </is>
      </c>
      <c r="D1" s="1" t="inlineStr">
        <is>
          <t>Nhóm chi phí</t>
        </is>
      </c>
      <c r="E1" s="1" t="inlineStr">
        <is>
          <t>Nhà cung cấp</t>
        </is>
      </c>
      <c r="F1" s="1" t="inlineStr">
        <is>
          <t>Ngày phát sinh</t>
        </is>
      </c>
      <c r="G1" s="1" t="inlineStr">
        <is>
          <t>Dự toán</t>
        </is>
      </c>
      <c r="H1" s="1" t="inlineStr">
        <is>
          <t>Thực chi</t>
        </is>
      </c>
      <c r="I1" s="1" t="inlineStr">
        <is>
          <t>Đã thanh toán</t>
        </is>
      </c>
      <c r="J1" s="1" t="inlineStr">
        <is>
          <t>Chênh lệch</t>
        </is>
      </c>
      <c r="K1" s="1" t="inlineStr">
        <is>
          <t>Tỷ lệ thực hiện</t>
        </is>
      </c>
      <c r="L1" s="1" t="inlineStr">
        <is>
          <t>Còn phải thanh toán</t>
        </is>
      </c>
      <c r="M1" s="1" t="inlineStr">
        <is>
          <t>Cảnh báo</t>
        </is>
      </c>
    </row>
    <row r="2">
      <c r="A2" s="2" t="n">
        <v>1</v>
      </c>
      <c r="B2" s="3" t="inlineStr">
        <is>
          <t>DA01</t>
        </is>
      </c>
      <c r="C2" s="3" t="inlineStr">
        <is>
          <t>Máy dán nhãn tự động và phụ kiện</t>
        </is>
      </c>
      <c r="D2" s="3" t="inlineStr">
        <is>
          <t>Vật tư thiết bị</t>
        </is>
      </c>
      <c r="E2" s="3" t="inlineStr">
        <is>
          <t>Công ty TNHH Thiết bị Minh Long</t>
        </is>
      </c>
      <c r="F2" s="4" t="n">
        <v>46154</v>
      </c>
      <c r="G2" s="5" t="n">
        <v>850000000</v>
      </c>
      <c r="H2" s="5" t="n">
        <v>862000000</v>
      </c>
      <c r="I2" s="5" t="n">
        <v>600000000</v>
      </c>
      <c r="J2" s="6">
        <f>IF(C2="","",H2-G2)</f>
        <v/>
      </c>
      <c r="K2" s="7">
        <f>IF(C2="","",IFERROR(H2/G2,0))</f>
        <v/>
      </c>
      <c r="L2" s="6">
        <f>IF(C2="","",H2-I2)</f>
        <v/>
      </c>
      <c r="M2" s="8">
        <f>IF(C2="","",IF(H2&gt;G2*1.1,"Vượt dự toán trên 10%",IF(H2&gt;G2,"Vượt dự toán nhẹ",IF(L2&gt;0,"Còn nợ nhà cung cấp","Trong dự toán"))))</f>
        <v/>
      </c>
    </row>
    <row r="3">
      <c r="A3" s="2" t="n">
        <v>2</v>
      </c>
      <c r="B3" s="3" t="inlineStr">
        <is>
          <t>DA01</t>
        </is>
      </c>
      <c r="C3" s="3" t="inlineStr">
        <is>
          <t>Nhân công lắp đặt và hiệu chỉnh</t>
        </is>
      </c>
      <c r="D3" s="3" t="inlineStr">
        <is>
          <t>Nhân công</t>
        </is>
      </c>
      <c r="E3" s="3" t="inlineStr">
        <is>
          <t>Nội bộ</t>
        </is>
      </c>
      <c r="F3" s="4" t="n">
        <v>46174</v>
      </c>
      <c r="G3" s="5" t="n">
        <v>180000000</v>
      </c>
      <c r="H3" s="5" t="n">
        <v>154000000</v>
      </c>
      <c r="I3" s="5" t="n">
        <v>154000000</v>
      </c>
      <c r="J3" s="6">
        <f>IF(C3="","",H3-G3)</f>
        <v/>
      </c>
      <c r="K3" s="7">
        <f>IF(C3="","",IFERROR(H3/G3,0))</f>
        <v/>
      </c>
      <c r="L3" s="6">
        <f>IF(C3="","",H3-I3)</f>
        <v/>
      </c>
      <c r="M3" s="8">
        <f>IF(C3="","",IF(H3&gt;G3*1.1,"Vượt dự toán trên 10%",IF(H3&gt;G3,"Vượt dự toán nhẹ",IF(L3&gt;0,"Còn nợ nhà cung cấp","Trong dự toán"))))</f>
        <v/>
      </c>
    </row>
    <row r="4">
      <c r="A4" s="2" t="n">
        <v>3</v>
      </c>
      <c r="B4" s="3" t="inlineStr">
        <is>
          <t>DA01</t>
        </is>
      </c>
      <c r="C4" s="3" t="inlineStr">
        <is>
          <t>Thuê cẩu và vận chuyển thiết bị</t>
        </is>
      </c>
      <c r="D4" s="3" t="inlineStr">
        <is>
          <t>Vận chuyển</t>
        </is>
      </c>
      <c r="E4" s="3" t="inlineStr">
        <is>
          <t>Vận tải Tân Cảng</t>
        </is>
      </c>
      <c r="F4" s="4" t="n">
        <v>46162</v>
      </c>
      <c r="G4" s="5" t="n">
        <v>60000000</v>
      </c>
      <c r="H4" s="5" t="n">
        <v>78000000</v>
      </c>
      <c r="I4" s="5" t="n">
        <v>78000000</v>
      </c>
      <c r="J4" s="6">
        <f>IF(C4="","",H4-G4)</f>
        <v/>
      </c>
      <c r="K4" s="7">
        <f>IF(C4="","",IFERROR(H4/G4,0))</f>
        <v/>
      </c>
      <c r="L4" s="6">
        <f>IF(C4="","",H4-I4)</f>
        <v/>
      </c>
      <c r="M4" s="8">
        <f>IF(C4="","",IF(H4&gt;G4*1.1,"Vượt dự toán trên 10%",IF(H4&gt;G4,"Vượt dự toán nhẹ",IF(L4&gt;0,"Còn nợ nhà cung cấp","Trong dự toán"))))</f>
        <v/>
      </c>
    </row>
    <row r="5">
      <c r="A5" s="2" t="n">
        <v>4</v>
      </c>
      <c r="B5" s="3" t="inlineStr">
        <is>
          <t>DA02</t>
        </is>
      </c>
      <c r="C5" s="3" t="inlineStr">
        <is>
          <t>Bản quyền phần mềm quản lý kho</t>
        </is>
      </c>
      <c r="D5" s="3" t="inlineStr">
        <is>
          <t>Thuê ngoài</t>
        </is>
      </c>
      <c r="E5" s="3" t="inlineStr">
        <is>
          <t>Công ty CP Giải pháp số Việt</t>
        </is>
      </c>
      <c r="F5" s="4" t="n">
        <v>46167</v>
      </c>
      <c r="G5" s="5" t="n">
        <v>240000000</v>
      </c>
      <c r="H5" s="5" t="n">
        <v>240000000</v>
      </c>
      <c r="I5" s="5" t="n">
        <v>120000000</v>
      </c>
      <c r="J5" s="6">
        <f>IF(C5="","",H5-G5)</f>
        <v/>
      </c>
      <c r="K5" s="7">
        <f>IF(C5="","",IFERROR(H5/G5,0))</f>
        <v/>
      </c>
      <c r="L5" s="6">
        <f>IF(C5="","",H5-I5)</f>
        <v/>
      </c>
      <c r="M5" s="8">
        <f>IF(C5="","",IF(H5&gt;G5*1.1,"Vượt dự toán trên 10%",IF(H5&gt;G5,"Vượt dự toán nhẹ",IF(L5&gt;0,"Còn nợ nhà cung cấp","Trong dự toán"))))</f>
        <v/>
      </c>
    </row>
    <row r="6">
      <c r="A6" s="2" t="n">
        <v>5</v>
      </c>
      <c r="B6" s="3" t="inlineStr">
        <is>
          <t>DA02</t>
        </is>
      </c>
      <c r="C6" s="3" t="inlineStr">
        <is>
          <t>Đào tạo người dùng và chuyển dữ liệu</t>
        </is>
      </c>
      <c r="D6" s="3" t="inlineStr">
        <is>
          <t>Thuê ngoài</t>
        </is>
      </c>
      <c r="E6" s="3" t="inlineStr">
        <is>
          <t>Công ty CP Giải pháp số Việt</t>
        </is>
      </c>
      <c r="F6" s="4" t="n">
        <v>46203</v>
      </c>
      <c r="G6" s="5" t="n">
        <v>90000000</v>
      </c>
      <c r="H6" s="5" t="n">
        <v>62000000</v>
      </c>
      <c r="I6" s="5" t="n">
        <v>62000000</v>
      </c>
      <c r="J6" s="6">
        <f>IF(C6="","",H6-G6)</f>
        <v/>
      </c>
      <c r="K6" s="7">
        <f>IF(C6="","",IFERROR(H6/G6,0))</f>
        <v/>
      </c>
      <c r="L6" s="6">
        <f>IF(C6="","",H6-I6)</f>
        <v/>
      </c>
      <c r="M6" s="8">
        <f>IF(C6="","",IF(H6&gt;G6*1.1,"Vượt dự toán trên 10%",IF(H6&gt;G6,"Vượt dự toán nhẹ",IF(L6&gt;0,"Còn nợ nhà cung cấp","Trong dự toán"))))</f>
        <v/>
      </c>
    </row>
    <row r="7">
      <c r="A7" s="2" t="n">
        <v>6</v>
      </c>
      <c r="B7" s="3" t="inlineStr">
        <is>
          <t>DA02</t>
        </is>
      </c>
      <c r="C7" s="3" t="inlineStr">
        <is>
          <t>Dự phòng phát sinh</t>
        </is>
      </c>
      <c r="D7" s="3" t="inlineStr">
        <is>
          <t>Dự phòng</t>
        </is>
      </c>
      <c r="E7" s="3" t="inlineStr">
        <is>
          <t>Chưa xác định</t>
        </is>
      </c>
      <c r="F7" s="4" t="n">
        <v>46204</v>
      </c>
      <c r="G7" s="5" t="n">
        <v>45000000</v>
      </c>
      <c r="H7" s="5" t="n">
        <v>0</v>
      </c>
      <c r="I7" s="5" t="n">
        <v>0</v>
      </c>
      <c r="J7" s="6">
        <f>IF(C7="","",H7-G7)</f>
        <v/>
      </c>
      <c r="K7" s="7">
        <f>IF(C7="","",IFERROR(H7/G7,0))</f>
        <v/>
      </c>
      <c r="L7" s="6">
        <f>IF(C7="","",H7-I7)</f>
        <v/>
      </c>
      <c r="M7" s="8">
        <f>IF(C7="","",IF(H7&gt;G7*1.1,"Vượt dự toán trên 10%",IF(H7&gt;G7,"Vượt dự toán nhẹ",IF(L7&gt;0,"Còn nợ nhà cung cấp","Trong dự toán"))))</f>
        <v/>
      </c>
    </row>
    <row r="8">
      <c r="A8" s="2" t="n"/>
      <c r="B8" s="3" t="n"/>
      <c r="C8" s="3" t="n"/>
      <c r="D8" s="3" t="n"/>
      <c r="E8" s="3" t="n"/>
      <c r="F8" s="4" t="n"/>
      <c r="G8" s="5" t="n"/>
      <c r="H8" s="5" t="n"/>
      <c r="I8" s="5" t="n"/>
      <c r="J8" s="6">
        <f>IF(C8="","",H8-G8)</f>
        <v/>
      </c>
      <c r="K8" s="7">
        <f>IF(C8="","",IFERROR(H8/G8,0))</f>
        <v/>
      </c>
      <c r="L8" s="6">
        <f>IF(C8="","",H8-I8)</f>
        <v/>
      </c>
      <c r="M8" s="8">
        <f>IF(C8="","",IF(H8&gt;G8*1.1,"Vượt dự toán trên 10%",IF(H8&gt;G8,"Vượt dự toán nhẹ",IF(L8&gt;0,"Còn nợ nhà cung cấp","Trong dự toán"))))</f>
        <v/>
      </c>
    </row>
    <row r="9">
      <c r="A9" s="2" t="n"/>
      <c r="B9" s="3" t="n"/>
      <c r="C9" s="3" t="n"/>
      <c r="D9" s="3" t="n"/>
      <c r="E9" s="3" t="n"/>
      <c r="F9" s="4" t="n"/>
      <c r="G9" s="5" t="n"/>
      <c r="H9" s="5" t="n"/>
      <c r="I9" s="5" t="n"/>
      <c r="J9" s="6">
        <f>IF(C9="","",H9-G9)</f>
        <v/>
      </c>
      <c r="K9" s="7">
        <f>IF(C9="","",IFERROR(H9/G9,0))</f>
        <v/>
      </c>
      <c r="L9" s="6">
        <f>IF(C9="","",H9-I9)</f>
        <v/>
      </c>
      <c r="M9" s="8">
        <f>IF(C9="","",IF(H9&gt;G9*1.1,"Vượt dự toán trên 10%",IF(H9&gt;G9,"Vượt dự toán nhẹ",IF(L9&gt;0,"Còn nợ nhà cung cấp","Trong dự toán"))))</f>
        <v/>
      </c>
    </row>
    <row r="10">
      <c r="A10" s="2" t="n"/>
      <c r="B10" s="3" t="n"/>
      <c r="C10" s="3" t="n"/>
      <c r="D10" s="3" t="n"/>
      <c r="E10" s="3" t="n"/>
      <c r="F10" s="4" t="n"/>
      <c r="G10" s="5" t="n"/>
      <c r="H10" s="5" t="n"/>
      <c r="I10" s="5" t="n"/>
      <c r="J10" s="6">
        <f>IF(C10="","",H10-G10)</f>
        <v/>
      </c>
      <c r="K10" s="7">
        <f>IF(C10="","",IFERROR(H10/G10,0))</f>
        <v/>
      </c>
      <c r="L10" s="6">
        <f>IF(C10="","",H10-I10)</f>
        <v/>
      </c>
      <c r="M10" s="8">
        <f>IF(C10="","",IF(H10&gt;G10*1.1,"Vượt dự toán trên 10%",IF(H10&gt;G10,"Vượt dự toán nhẹ",IF(L10&gt;0,"Còn nợ nhà cung cấp","Trong dự toán"))))</f>
        <v/>
      </c>
    </row>
    <row r="11">
      <c r="A11" s="2" t="n"/>
      <c r="B11" s="3" t="n"/>
      <c r="C11" s="3" t="n"/>
      <c r="D11" s="3" t="n"/>
      <c r="E11" s="3" t="n"/>
      <c r="F11" s="4" t="n"/>
      <c r="G11" s="5" t="n"/>
      <c r="H11" s="5" t="n"/>
      <c r="I11" s="5" t="n"/>
      <c r="J11" s="6">
        <f>IF(C11="","",H11-G11)</f>
        <v/>
      </c>
      <c r="K11" s="7">
        <f>IF(C11="","",IFERROR(H11/G11,0))</f>
        <v/>
      </c>
      <c r="L11" s="6">
        <f>IF(C11="","",H11-I11)</f>
        <v/>
      </c>
      <c r="M11" s="8">
        <f>IF(C11="","",IF(H11&gt;G11*1.1,"Vượt dự toán trên 10%",IF(H11&gt;G11,"Vượt dự toán nhẹ",IF(L11&gt;0,"Còn nợ nhà cung cấp","Trong dự toán"))))</f>
        <v/>
      </c>
    </row>
    <row r="12">
      <c r="A12" s="2" t="n"/>
      <c r="B12" s="3" t="n"/>
      <c r="C12" s="3" t="n"/>
      <c r="D12" s="3" t="n"/>
      <c r="E12" s="3" t="n"/>
      <c r="F12" s="4" t="n"/>
      <c r="G12" s="5" t="n"/>
      <c r="H12" s="5" t="n"/>
      <c r="I12" s="5" t="n"/>
      <c r="J12" s="6">
        <f>IF(C12="","",H12-G12)</f>
        <v/>
      </c>
      <c r="K12" s="7">
        <f>IF(C12="","",IFERROR(H12/G12,0))</f>
        <v/>
      </c>
      <c r="L12" s="6">
        <f>IF(C12="","",H12-I12)</f>
        <v/>
      </c>
      <c r="M12" s="8">
        <f>IF(C12="","",IF(H12&gt;G12*1.1,"Vượt dự toán trên 10%",IF(H12&gt;G12,"Vượt dự toán nhẹ",IF(L12&gt;0,"Còn nợ nhà cung cấp","Trong dự toán"))))</f>
        <v/>
      </c>
    </row>
    <row r="13">
      <c r="A13" s="2" t="n"/>
      <c r="B13" s="3" t="n"/>
      <c r="C13" s="3" t="n"/>
      <c r="D13" s="3" t="n"/>
      <c r="E13" s="3" t="n"/>
      <c r="F13" s="4" t="n"/>
      <c r="G13" s="5" t="n"/>
      <c r="H13" s="5" t="n"/>
      <c r="I13" s="5" t="n"/>
      <c r="J13" s="6">
        <f>IF(C13="","",H13-G13)</f>
        <v/>
      </c>
      <c r="K13" s="7">
        <f>IF(C13="","",IFERROR(H13/G13,0))</f>
        <v/>
      </c>
      <c r="L13" s="6">
        <f>IF(C13="","",H13-I13)</f>
        <v/>
      </c>
      <c r="M13" s="8">
        <f>IF(C13="","",IF(H13&gt;G13*1.1,"Vượt dự toán trên 10%",IF(H13&gt;G13,"Vượt dự toán nhẹ",IF(L13&gt;0,"Còn nợ nhà cung cấp","Trong dự toán"))))</f>
        <v/>
      </c>
    </row>
    <row r="14">
      <c r="A14" s="2" t="n"/>
      <c r="B14" s="3" t="n"/>
      <c r="C14" s="3" t="n"/>
      <c r="D14" s="3" t="n"/>
      <c r="E14" s="3" t="n"/>
      <c r="F14" s="4" t="n"/>
      <c r="G14" s="5" t="n"/>
      <c r="H14" s="5" t="n"/>
      <c r="I14" s="5" t="n"/>
      <c r="J14" s="6">
        <f>IF(C14="","",H14-G14)</f>
        <v/>
      </c>
      <c r="K14" s="7">
        <f>IF(C14="","",IFERROR(H14/G14,0))</f>
        <v/>
      </c>
      <c r="L14" s="6">
        <f>IF(C14="","",H14-I14)</f>
        <v/>
      </c>
      <c r="M14" s="8">
        <f>IF(C14="","",IF(H14&gt;G14*1.1,"Vượt dự toán trên 10%",IF(H14&gt;G14,"Vượt dự toán nhẹ",IF(L14&gt;0,"Còn nợ nhà cung cấp","Trong dự toán"))))</f>
        <v/>
      </c>
    </row>
    <row r="15">
      <c r="A15" s="2" t="n"/>
      <c r="B15" s="3" t="n"/>
      <c r="C15" s="3" t="n"/>
      <c r="D15" s="3" t="n"/>
      <c r="E15" s="3" t="n"/>
      <c r="F15" s="4" t="n"/>
      <c r="G15" s="5" t="n"/>
      <c r="H15" s="5" t="n"/>
      <c r="I15" s="5" t="n"/>
      <c r="J15" s="6">
        <f>IF(C15="","",H15-G15)</f>
        <v/>
      </c>
      <c r="K15" s="7">
        <f>IF(C15="","",IFERROR(H15/G15,0))</f>
        <v/>
      </c>
      <c r="L15" s="6">
        <f>IF(C15="","",H15-I15)</f>
        <v/>
      </c>
      <c r="M15" s="8">
        <f>IF(C15="","",IF(H15&gt;G15*1.1,"Vượt dự toán trên 10%",IF(H15&gt;G15,"Vượt dự toán nhẹ",IF(L15&gt;0,"Còn nợ nhà cung cấp","Trong dự toán"))))</f>
        <v/>
      </c>
    </row>
    <row r="16">
      <c r="A16" s="2" t="n"/>
      <c r="B16" s="3" t="n"/>
      <c r="C16" s="3" t="n"/>
      <c r="D16" s="3" t="n"/>
      <c r="E16" s="3" t="n"/>
      <c r="F16" s="4" t="n"/>
      <c r="G16" s="5" t="n"/>
      <c r="H16" s="5" t="n"/>
      <c r="I16" s="5" t="n"/>
      <c r="J16" s="6">
        <f>IF(C16="","",H16-G16)</f>
        <v/>
      </c>
      <c r="K16" s="7">
        <f>IF(C16="","",IFERROR(H16/G16,0))</f>
        <v/>
      </c>
      <c r="L16" s="6">
        <f>IF(C16="","",H16-I16)</f>
        <v/>
      </c>
      <c r="M16" s="8">
        <f>IF(C16="","",IF(H16&gt;G16*1.1,"Vượt dự toán trên 10%",IF(H16&gt;G16,"Vượt dự toán nhẹ",IF(L16&gt;0,"Còn nợ nhà cung cấp","Trong dự toán"))))</f>
        <v/>
      </c>
    </row>
    <row r="17">
      <c r="A17" s="2" t="n"/>
      <c r="B17" s="3" t="n"/>
      <c r="C17" s="3" t="n"/>
      <c r="D17" s="3" t="n"/>
      <c r="E17" s="3" t="n"/>
      <c r="F17" s="4" t="n"/>
      <c r="G17" s="5" t="n"/>
      <c r="H17" s="5" t="n"/>
      <c r="I17" s="5" t="n"/>
      <c r="J17" s="6">
        <f>IF(C17="","",H17-G17)</f>
        <v/>
      </c>
      <c r="K17" s="7">
        <f>IF(C17="","",IFERROR(H17/G17,0))</f>
        <v/>
      </c>
      <c r="L17" s="6">
        <f>IF(C17="","",H17-I17)</f>
        <v/>
      </c>
      <c r="M17" s="8">
        <f>IF(C17="","",IF(H17&gt;G17*1.1,"Vượt dự toán trên 10%",IF(H17&gt;G17,"Vượt dự toán nhẹ",IF(L17&gt;0,"Còn nợ nhà cung cấp","Trong dự toán"))))</f>
        <v/>
      </c>
    </row>
    <row r="18">
      <c r="A18" s="2" t="n"/>
      <c r="B18" s="3" t="n"/>
      <c r="C18" s="3" t="n"/>
      <c r="D18" s="3" t="n"/>
      <c r="E18" s="3" t="n"/>
      <c r="F18" s="4" t="n"/>
      <c r="G18" s="5" t="n"/>
      <c r="H18" s="5" t="n"/>
      <c r="I18" s="5" t="n"/>
      <c r="J18" s="6">
        <f>IF(C18="","",H18-G18)</f>
        <v/>
      </c>
      <c r="K18" s="7">
        <f>IF(C18="","",IFERROR(H18/G18,0))</f>
        <v/>
      </c>
      <c r="L18" s="6">
        <f>IF(C18="","",H18-I18)</f>
        <v/>
      </c>
      <c r="M18" s="8">
        <f>IF(C18="","",IF(H18&gt;G18*1.1,"Vượt dự toán trên 10%",IF(H18&gt;G18,"Vượt dự toán nhẹ",IF(L18&gt;0,"Còn nợ nhà cung cấp","Trong dự toán"))))</f>
        <v/>
      </c>
    </row>
    <row r="19">
      <c r="A19" s="2" t="n"/>
      <c r="B19" s="3" t="n"/>
      <c r="C19" s="3" t="n"/>
      <c r="D19" s="3" t="n"/>
      <c r="E19" s="3" t="n"/>
      <c r="F19" s="4" t="n"/>
      <c r="G19" s="5" t="n"/>
      <c r="H19" s="5" t="n"/>
      <c r="I19" s="5" t="n"/>
      <c r="J19" s="6">
        <f>IF(C19="","",H19-G19)</f>
        <v/>
      </c>
      <c r="K19" s="7">
        <f>IF(C19="","",IFERROR(H19/G19,0))</f>
        <v/>
      </c>
      <c r="L19" s="6">
        <f>IF(C19="","",H19-I19)</f>
        <v/>
      </c>
      <c r="M19" s="8">
        <f>IF(C19="","",IF(H19&gt;G19*1.1,"Vượt dự toán trên 10%",IF(H19&gt;G19,"Vượt dự toán nhẹ",IF(L19&gt;0,"Còn nợ nhà cung cấp","Trong dự toán"))))</f>
        <v/>
      </c>
    </row>
    <row r="20">
      <c r="A20" s="2" t="n"/>
      <c r="B20" s="3" t="n"/>
      <c r="C20" s="3" t="n"/>
      <c r="D20" s="3" t="n"/>
      <c r="E20" s="3" t="n"/>
      <c r="F20" s="4" t="n"/>
      <c r="G20" s="5" t="n"/>
      <c r="H20" s="5" t="n"/>
      <c r="I20" s="5" t="n"/>
      <c r="J20" s="6">
        <f>IF(C20="","",H20-G20)</f>
        <v/>
      </c>
      <c r="K20" s="7">
        <f>IF(C20="","",IFERROR(H20/G20,0))</f>
        <v/>
      </c>
      <c r="L20" s="6">
        <f>IF(C20="","",H20-I20)</f>
        <v/>
      </c>
      <c r="M20" s="8">
        <f>IF(C20="","",IF(H20&gt;G20*1.1,"Vượt dự toán trên 10%",IF(H20&gt;G20,"Vượt dự toán nhẹ",IF(L20&gt;0,"Còn nợ nhà cung cấp","Trong dự toán"))))</f>
        <v/>
      </c>
    </row>
    <row r="21">
      <c r="A21" s="2" t="n"/>
      <c r="B21" s="3" t="n"/>
      <c r="C21" s="3" t="n"/>
      <c r="D21" s="3" t="n"/>
      <c r="E21" s="3" t="n"/>
      <c r="F21" s="4" t="n"/>
      <c r="G21" s="5" t="n"/>
      <c r="H21" s="5" t="n"/>
      <c r="I21" s="5" t="n"/>
      <c r="J21" s="6">
        <f>IF(C21="","",H21-G21)</f>
        <v/>
      </c>
      <c r="K21" s="7">
        <f>IF(C21="","",IFERROR(H21/G21,0))</f>
        <v/>
      </c>
      <c r="L21" s="6">
        <f>IF(C21="","",H21-I21)</f>
        <v/>
      </c>
      <c r="M21" s="8">
        <f>IF(C21="","",IF(H21&gt;G21*1.1,"Vượt dự toán trên 10%",IF(H21&gt;G21,"Vượt dự toán nhẹ",IF(L21&gt;0,"Còn nợ nhà cung cấp","Trong dự toán"))))</f>
        <v/>
      </c>
    </row>
    <row r="22">
      <c r="A22" s="2" t="n"/>
      <c r="B22" s="3" t="n"/>
      <c r="C22" s="3" t="n"/>
      <c r="D22" s="3" t="n"/>
      <c r="E22" s="3" t="n"/>
      <c r="F22" s="4" t="n"/>
      <c r="G22" s="5" t="n"/>
      <c r="H22" s="5" t="n"/>
      <c r="I22" s="5" t="n"/>
      <c r="J22" s="6">
        <f>IF(C22="","",H22-G22)</f>
        <v/>
      </c>
      <c r="K22" s="7">
        <f>IF(C22="","",IFERROR(H22/G22,0))</f>
        <v/>
      </c>
      <c r="L22" s="6">
        <f>IF(C22="","",H22-I22)</f>
        <v/>
      </c>
      <c r="M22" s="8">
        <f>IF(C22="","",IF(H22&gt;G22*1.1,"Vượt dự toán trên 10%",IF(H22&gt;G22,"Vượt dự toán nhẹ",IF(L22&gt;0,"Còn nợ nhà cung cấp","Trong dự toán"))))</f>
        <v/>
      </c>
    </row>
    <row r="23">
      <c r="A23" s="2" t="n"/>
      <c r="B23" s="3" t="n"/>
      <c r="C23" s="3" t="n"/>
      <c r="D23" s="3" t="n"/>
      <c r="E23" s="3" t="n"/>
      <c r="F23" s="4" t="n"/>
      <c r="G23" s="5" t="n"/>
      <c r="H23" s="5" t="n"/>
      <c r="I23" s="5" t="n"/>
      <c r="J23" s="6">
        <f>IF(C23="","",H23-G23)</f>
        <v/>
      </c>
      <c r="K23" s="7">
        <f>IF(C23="","",IFERROR(H23/G23,0))</f>
        <v/>
      </c>
      <c r="L23" s="6">
        <f>IF(C23="","",H23-I23)</f>
        <v/>
      </c>
      <c r="M23" s="8">
        <f>IF(C23="","",IF(H23&gt;G23*1.1,"Vượt dự toán trên 10%",IF(H23&gt;G23,"Vượt dự toán nhẹ",IF(L23&gt;0,"Còn nợ nhà cung cấp","Trong dự toán"))))</f>
        <v/>
      </c>
    </row>
    <row r="24">
      <c r="A24" s="2" t="n"/>
      <c r="B24" s="3" t="n"/>
      <c r="C24" s="3" t="n"/>
      <c r="D24" s="3" t="n"/>
      <c r="E24" s="3" t="n"/>
      <c r="F24" s="4" t="n"/>
      <c r="G24" s="5" t="n"/>
      <c r="H24" s="5" t="n"/>
      <c r="I24" s="5" t="n"/>
      <c r="J24" s="6">
        <f>IF(C24="","",H24-G24)</f>
        <v/>
      </c>
      <c r="K24" s="7">
        <f>IF(C24="","",IFERROR(H24/G24,0))</f>
        <v/>
      </c>
      <c r="L24" s="6">
        <f>IF(C24="","",H24-I24)</f>
        <v/>
      </c>
      <c r="M24" s="8">
        <f>IF(C24="","",IF(H24&gt;G24*1.1,"Vượt dự toán trên 10%",IF(H24&gt;G24,"Vượt dự toán nhẹ",IF(L24&gt;0,"Còn nợ nhà cung cấp","Trong dự toán"))))</f>
        <v/>
      </c>
    </row>
    <row r="25">
      <c r="A25" s="2" t="n"/>
      <c r="B25" s="3" t="n"/>
      <c r="C25" s="3" t="n"/>
      <c r="D25" s="3" t="n"/>
      <c r="E25" s="3" t="n"/>
      <c r="F25" s="4" t="n"/>
      <c r="G25" s="5" t="n"/>
      <c r="H25" s="5" t="n"/>
      <c r="I25" s="5" t="n"/>
      <c r="J25" s="6">
        <f>IF(C25="","",H25-G25)</f>
        <v/>
      </c>
      <c r="K25" s="7">
        <f>IF(C25="","",IFERROR(H25/G25,0))</f>
        <v/>
      </c>
      <c r="L25" s="6">
        <f>IF(C25="","",H25-I25)</f>
        <v/>
      </c>
      <c r="M25" s="8">
        <f>IF(C25="","",IF(H25&gt;G25*1.1,"Vượt dự toán trên 10%",IF(H25&gt;G25,"Vượt dự toán nhẹ",IF(L25&gt;0,"Còn nợ nhà cung cấp","Trong dự toán"))))</f>
        <v/>
      </c>
    </row>
    <row r="26">
      <c r="A26" s="2" t="n"/>
      <c r="B26" s="3" t="n"/>
      <c r="C26" s="3" t="n"/>
      <c r="D26" s="3" t="n"/>
      <c r="E26" s="3" t="n"/>
      <c r="F26" s="4" t="n"/>
      <c r="G26" s="5" t="n"/>
      <c r="H26" s="5" t="n"/>
      <c r="I26" s="5" t="n"/>
      <c r="J26" s="6">
        <f>IF(C26="","",H26-G26)</f>
        <v/>
      </c>
      <c r="K26" s="7">
        <f>IF(C26="","",IFERROR(H26/G26,0))</f>
        <v/>
      </c>
      <c r="L26" s="6">
        <f>IF(C26="","",H26-I26)</f>
        <v/>
      </c>
      <c r="M26" s="8">
        <f>IF(C26="","",IF(H26&gt;G26*1.1,"Vượt dự toán trên 10%",IF(H26&gt;G26,"Vượt dự toán nhẹ",IF(L26&gt;0,"Còn nợ nhà cung cấp","Trong dự toán"))))</f>
        <v/>
      </c>
    </row>
    <row r="27">
      <c r="A27" s="2" t="n"/>
      <c r="B27" s="3" t="n"/>
      <c r="C27" s="3" t="n"/>
      <c r="D27" s="3" t="n"/>
      <c r="E27" s="3" t="n"/>
      <c r="F27" s="4" t="n"/>
      <c r="G27" s="5" t="n"/>
      <c r="H27" s="5" t="n"/>
      <c r="I27" s="5" t="n"/>
      <c r="J27" s="6">
        <f>IF(C27="","",H27-G27)</f>
        <v/>
      </c>
      <c r="K27" s="7">
        <f>IF(C27="","",IFERROR(H27/G27,0))</f>
        <v/>
      </c>
      <c r="L27" s="6">
        <f>IF(C27="","",H27-I27)</f>
        <v/>
      </c>
      <c r="M27" s="8">
        <f>IF(C27="","",IF(H27&gt;G27*1.1,"Vượt dự toán trên 10%",IF(H27&gt;G27,"Vượt dự toán nhẹ",IF(L27&gt;0,"Còn nợ nhà cung cấp","Trong dự toán"))))</f>
        <v/>
      </c>
    </row>
    <row r="28">
      <c r="A28" s="2" t="n"/>
      <c r="B28" s="3" t="n"/>
      <c r="C28" s="3" t="n"/>
      <c r="D28" s="3" t="n"/>
      <c r="E28" s="3" t="n"/>
      <c r="F28" s="4" t="n"/>
      <c r="G28" s="5" t="n"/>
      <c r="H28" s="5" t="n"/>
      <c r="I28" s="5" t="n"/>
      <c r="J28" s="6">
        <f>IF(C28="","",H28-G28)</f>
        <v/>
      </c>
      <c r="K28" s="7">
        <f>IF(C28="","",IFERROR(H28/G28,0))</f>
        <v/>
      </c>
      <c r="L28" s="6">
        <f>IF(C28="","",H28-I28)</f>
        <v/>
      </c>
      <c r="M28" s="8">
        <f>IF(C28="","",IF(H28&gt;G28*1.1,"Vượt dự toán trên 10%",IF(H28&gt;G28,"Vượt dự toán nhẹ",IF(L28&gt;0,"Còn nợ nhà cung cấp","Trong dự toán"))))</f>
        <v/>
      </c>
    </row>
    <row r="29">
      <c r="A29" s="2" t="n"/>
      <c r="B29" s="3" t="n"/>
      <c r="C29" s="3" t="n"/>
      <c r="D29" s="3" t="n"/>
      <c r="E29" s="3" t="n"/>
      <c r="F29" s="4" t="n"/>
      <c r="G29" s="5" t="n"/>
      <c r="H29" s="5" t="n"/>
      <c r="I29" s="5" t="n"/>
      <c r="J29" s="6">
        <f>IF(C29="","",H29-G29)</f>
        <v/>
      </c>
      <c r="K29" s="7">
        <f>IF(C29="","",IFERROR(H29/G29,0))</f>
        <v/>
      </c>
      <c r="L29" s="6">
        <f>IF(C29="","",H29-I29)</f>
        <v/>
      </c>
      <c r="M29" s="8">
        <f>IF(C29="","",IF(H29&gt;G29*1.1,"Vượt dự toán trên 10%",IF(H29&gt;G29,"Vượt dự toán nhẹ",IF(L29&gt;0,"Còn nợ nhà cung cấp","Trong dự toán"))))</f>
        <v/>
      </c>
    </row>
    <row r="30">
      <c r="A30" s="2" t="n"/>
      <c r="B30" s="3" t="n"/>
      <c r="C30" s="3" t="n"/>
      <c r="D30" s="3" t="n"/>
      <c r="E30" s="3" t="n"/>
      <c r="F30" s="4" t="n"/>
      <c r="G30" s="5" t="n"/>
      <c r="H30" s="5" t="n"/>
      <c r="I30" s="5" t="n"/>
      <c r="J30" s="6">
        <f>IF(C30="","",H30-G30)</f>
        <v/>
      </c>
      <c r="K30" s="7">
        <f>IF(C30="","",IFERROR(H30/G30,0))</f>
        <v/>
      </c>
      <c r="L30" s="6">
        <f>IF(C30="","",H30-I30)</f>
        <v/>
      </c>
      <c r="M30" s="8">
        <f>IF(C30="","",IF(H30&gt;G30*1.1,"Vượt dự toán trên 10%",IF(H30&gt;G30,"Vượt dự toán nhẹ",IF(L30&gt;0,"Còn nợ nhà cung cấp","Trong dự toán"))))</f>
        <v/>
      </c>
    </row>
    <row r="31">
      <c r="A31" s="2" t="n"/>
      <c r="B31" s="3" t="n"/>
      <c r="C31" s="3" t="n"/>
      <c r="D31" s="3" t="n"/>
      <c r="E31" s="3" t="n"/>
      <c r="F31" s="4" t="n"/>
      <c r="G31" s="5" t="n"/>
      <c r="H31" s="5" t="n"/>
      <c r="I31" s="5" t="n"/>
      <c r="J31" s="6">
        <f>IF(C31="","",H31-G31)</f>
        <v/>
      </c>
      <c r="K31" s="7">
        <f>IF(C31="","",IFERROR(H31/G31,0))</f>
        <v/>
      </c>
      <c r="L31" s="6">
        <f>IF(C31="","",H31-I31)</f>
        <v/>
      </c>
      <c r="M31" s="8">
        <f>IF(C31="","",IF(H31&gt;G31*1.1,"Vượt dự toán trên 10%",IF(H31&gt;G31,"Vượt dự toán nhẹ",IF(L31&gt;0,"Còn nợ nhà cung cấp","Trong dự toán"))))</f>
        <v/>
      </c>
    </row>
    <row r="32">
      <c r="A32" s="2" t="n"/>
      <c r="B32" s="3" t="n"/>
      <c r="C32" s="3" t="n"/>
      <c r="D32" s="3" t="n"/>
      <c r="E32" s="3" t="n"/>
      <c r="F32" s="4" t="n"/>
      <c r="G32" s="5" t="n"/>
      <c r="H32" s="5" t="n"/>
      <c r="I32" s="5" t="n"/>
      <c r="J32" s="6">
        <f>IF(C32="","",H32-G32)</f>
        <v/>
      </c>
      <c r="K32" s="7">
        <f>IF(C32="","",IFERROR(H32/G32,0))</f>
        <v/>
      </c>
      <c r="L32" s="6">
        <f>IF(C32="","",H32-I32)</f>
        <v/>
      </c>
      <c r="M32" s="8">
        <f>IF(C32="","",IF(H32&gt;G32*1.1,"Vượt dự toán trên 10%",IF(H32&gt;G32,"Vượt dự toán nhẹ",IF(L32&gt;0,"Còn nợ nhà cung cấp","Trong dự toán"))))</f>
        <v/>
      </c>
    </row>
    <row r="33">
      <c r="A33" s="2" t="n"/>
      <c r="B33" s="3" t="n"/>
      <c r="C33" s="3" t="n"/>
      <c r="D33" s="3" t="n"/>
      <c r="E33" s="3" t="n"/>
      <c r="F33" s="4" t="n"/>
      <c r="G33" s="5" t="n"/>
      <c r="H33" s="5" t="n"/>
      <c r="I33" s="5" t="n"/>
      <c r="J33" s="6">
        <f>IF(C33="","",H33-G33)</f>
        <v/>
      </c>
      <c r="K33" s="7">
        <f>IF(C33="","",IFERROR(H33/G33,0))</f>
        <v/>
      </c>
      <c r="L33" s="6">
        <f>IF(C33="","",H33-I33)</f>
        <v/>
      </c>
      <c r="M33" s="8">
        <f>IF(C33="","",IF(H33&gt;G33*1.1,"Vượt dự toán trên 10%",IF(H33&gt;G33,"Vượt dự toán nhẹ",IF(L33&gt;0,"Còn nợ nhà cung cấp","Trong dự toán"))))</f>
        <v/>
      </c>
    </row>
    <row r="34">
      <c r="A34" s="2" t="n"/>
      <c r="B34" s="3" t="n"/>
      <c r="C34" s="3" t="n"/>
      <c r="D34" s="3" t="n"/>
      <c r="E34" s="3" t="n"/>
      <c r="F34" s="4" t="n"/>
      <c r="G34" s="5" t="n"/>
      <c r="H34" s="5" t="n"/>
      <c r="I34" s="5" t="n"/>
      <c r="J34" s="6">
        <f>IF(C34="","",H34-G34)</f>
        <v/>
      </c>
      <c r="K34" s="7">
        <f>IF(C34="","",IFERROR(H34/G34,0))</f>
        <v/>
      </c>
      <c r="L34" s="6">
        <f>IF(C34="","",H34-I34)</f>
        <v/>
      </c>
      <c r="M34" s="8">
        <f>IF(C34="","",IF(H34&gt;G34*1.1,"Vượt dự toán trên 10%",IF(H34&gt;G34,"Vượt dự toán nhẹ",IF(L34&gt;0,"Còn nợ nhà cung cấp","Trong dự toán"))))</f>
        <v/>
      </c>
    </row>
    <row r="35">
      <c r="A35" s="2" t="n"/>
      <c r="B35" s="3" t="n"/>
      <c r="C35" s="3" t="n"/>
      <c r="D35" s="3" t="n"/>
      <c r="E35" s="3" t="n"/>
      <c r="F35" s="4" t="n"/>
      <c r="G35" s="5" t="n"/>
      <c r="H35" s="5" t="n"/>
      <c r="I35" s="5" t="n"/>
      <c r="J35" s="6">
        <f>IF(C35="","",H35-G35)</f>
        <v/>
      </c>
      <c r="K35" s="7">
        <f>IF(C35="","",IFERROR(H35/G35,0))</f>
        <v/>
      </c>
      <c r="L35" s="6">
        <f>IF(C35="","",H35-I35)</f>
        <v/>
      </c>
      <c r="M35" s="8">
        <f>IF(C35="","",IF(H35&gt;G35*1.1,"Vượt dự toán trên 10%",IF(H35&gt;G35,"Vượt dự toán nhẹ",IF(L35&gt;0,"Còn nợ nhà cung cấp","Trong dự toán"))))</f>
        <v/>
      </c>
    </row>
    <row r="36">
      <c r="A36" s="2" t="n"/>
      <c r="B36" s="3" t="n"/>
      <c r="C36" s="3" t="n"/>
      <c r="D36" s="3" t="n"/>
      <c r="E36" s="3" t="n"/>
      <c r="F36" s="4" t="n"/>
      <c r="G36" s="5" t="n"/>
      <c r="H36" s="5" t="n"/>
      <c r="I36" s="5" t="n"/>
      <c r="J36" s="6">
        <f>IF(C36="","",H36-G36)</f>
        <v/>
      </c>
      <c r="K36" s="7">
        <f>IF(C36="","",IFERROR(H36/G36,0))</f>
        <v/>
      </c>
      <c r="L36" s="6">
        <f>IF(C36="","",H36-I36)</f>
        <v/>
      </c>
      <c r="M36" s="8">
        <f>IF(C36="","",IF(H36&gt;G36*1.1,"Vượt dự toán trên 10%",IF(H36&gt;G36,"Vượt dự toán nhẹ",IF(L36&gt;0,"Còn nợ nhà cung cấp","Trong dự toán"))))</f>
        <v/>
      </c>
    </row>
    <row r="37">
      <c r="A37" s="2" t="n"/>
      <c r="B37" s="3" t="n"/>
      <c r="C37" s="3" t="n"/>
      <c r="D37" s="3" t="n"/>
      <c r="E37" s="3" t="n"/>
      <c r="F37" s="4" t="n"/>
      <c r="G37" s="5" t="n"/>
      <c r="H37" s="5" t="n"/>
      <c r="I37" s="5" t="n"/>
      <c r="J37" s="6">
        <f>IF(C37="","",H37-G37)</f>
        <v/>
      </c>
      <c r="K37" s="7">
        <f>IF(C37="","",IFERROR(H37/G37,0))</f>
        <v/>
      </c>
      <c r="L37" s="6">
        <f>IF(C37="","",H37-I37)</f>
        <v/>
      </c>
      <c r="M37" s="8">
        <f>IF(C37="","",IF(H37&gt;G37*1.1,"Vượt dự toán trên 10%",IF(H37&gt;G37,"Vượt dự toán nhẹ",IF(L37&gt;0,"Còn nợ nhà cung cấp","Trong dự toán"))))</f>
        <v/>
      </c>
    </row>
    <row r="38">
      <c r="A38" s="2" t="n"/>
      <c r="B38" s="3" t="n"/>
      <c r="C38" s="3" t="n"/>
      <c r="D38" s="3" t="n"/>
      <c r="E38" s="3" t="n"/>
      <c r="F38" s="4" t="n"/>
      <c r="G38" s="5" t="n"/>
      <c r="H38" s="5" t="n"/>
      <c r="I38" s="5" t="n"/>
      <c r="J38" s="6">
        <f>IF(C38="","",H38-G38)</f>
        <v/>
      </c>
      <c r="K38" s="7">
        <f>IF(C38="","",IFERROR(H38/G38,0))</f>
        <v/>
      </c>
      <c r="L38" s="6">
        <f>IF(C38="","",H38-I38)</f>
        <v/>
      </c>
      <c r="M38" s="8">
        <f>IF(C38="","",IF(H38&gt;G38*1.1,"Vượt dự toán trên 10%",IF(H38&gt;G38,"Vượt dự toán nhẹ",IF(L38&gt;0,"Còn nợ nhà cung cấp","Trong dự toán"))))</f>
        <v/>
      </c>
    </row>
    <row r="39">
      <c r="A39" s="2" t="n"/>
      <c r="B39" s="3" t="n"/>
      <c r="C39" s="3" t="n"/>
      <c r="D39" s="3" t="n"/>
      <c r="E39" s="3" t="n"/>
      <c r="F39" s="4" t="n"/>
      <c r="G39" s="5" t="n"/>
      <c r="H39" s="5" t="n"/>
      <c r="I39" s="5" t="n"/>
      <c r="J39" s="6">
        <f>IF(C39="","",H39-G39)</f>
        <v/>
      </c>
      <c r="K39" s="7">
        <f>IF(C39="","",IFERROR(H39/G39,0))</f>
        <v/>
      </c>
      <c r="L39" s="6">
        <f>IF(C39="","",H39-I39)</f>
        <v/>
      </c>
      <c r="M39" s="8">
        <f>IF(C39="","",IF(H39&gt;G39*1.1,"Vượt dự toán trên 10%",IF(H39&gt;G39,"Vượt dự toán nhẹ",IF(L39&gt;0,"Còn nợ nhà cung cấp","Trong dự toán"))))</f>
        <v/>
      </c>
    </row>
    <row r="40">
      <c r="A40" s="2" t="n"/>
      <c r="B40" s="3" t="n"/>
      <c r="C40" s="3" t="n"/>
      <c r="D40" s="3" t="n"/>
      <c r="E40" s="3" t="n"/>
      <c r="F40" s="4" t="n"/>
      <c r="G40" s="5" t="n"/>
      <c r="H40" s="5" t="n"/>
      <c r="I40" s="5" t="n"/>
      <c r="J40" s="6">
        <f>IF(C40="","",H40-G40)</f>
        <v/>
      </c>
      <c r="K40" s="7">
        <f>IF(C40="","",IFERROR(H40/G40,0))</f>
        <v/>
      </c>
      <c r="L40" s="6">
        <f>IF(C40="","",H40-I40)</f>
        <v/>
      </c>
      <c r="M40" s="8">
        <f>IF(C40="","",IF(H40&gt;G40*1.1,"Vượt dự toán trên 10%",IF(H40&gt;G40,"Vượt dự toán nhẹ",IF(L40&gt;0,"Còn nợ nhà cung cấp","Trong dự toán"))))</f>
        <v/>
      </c>
    </row>
    <row r="41">
      <c r="A41" s="2" t="n"/>
      <c r="B41" s="3" t="n"/>
      <c r="C41" s="3" t="n"/>
      <c r="D41" s="3" t="n"/>
      <c r="E41" s="3" t="n"/>
      <c r="F41" s="4" t="n"/>
      <c r="G41" s="5" t="n"/>
      <c r="H41" s="5" t="n"/>
      <c r="I41" s="5" t="n"/>
      <c r="J41" s="6">
        <f>IF(C41="","",H41-G41)</f>
        <v/>
      </c>
      <c r="K41" s="7">
        <f>IF(C41="","",IFERROR(H41/G41,0))</f>
        <v/>
      </c>
      <c r="L41" s="6">
        <f>IF(C41="","",H41-I41)</f>
        <v/>
      </c>
      <c r="M41" s="8">
        <f>IF(C41="","",IF(H41&gt;G41*1.1,"Vượt dự toán trên 10%",IF(H41&gt;G41,"Vượt dự toán nhẹ",IF(L41&gt;0,"Còn nợ nhà cung cấp","Trong dự toán"))))</f>
        <v/>
      </c>
    </row>
    <row r="42">
      <c r="A42" s="2" t="n"/>
      <c r="B42" s="3" t="n"/>
      <c r="C42" s="3" t="n"/>
      <c r="D42" s="3" t="n"/>
      <c r="E42" s="3" t="n"/>
      <c r="F42" s="4" t="n"/>
      <c r="G42" s="5" t="n"/>
      <c r="H42" s="5" t="n"/>
      <c r="I42" s="5" t="n"/>
      <c r="J42" s="6">
        <f>IF(C42="","",H42-G42)</f>
        <v/>
      </c>
      <c r="K42" s="7">
        <f>IF(C42="","",IFERROR(H42/G42,0))</f>
        <v/>
      </c>
      <c r="L42" s="6">
        <f>IF(C42="","",H42-I42)</f>
        <v/>
      </c>
      <c r="M42" s="8">
        <f>IF(C42="","",IF(H42&gt;G42*1.1,"Vượt dự toán trên 10%",IF(H42&gt;G42,"Vượt dự toán nhẹ",IF(L42&gt;0,"Còn nợ nhà cung cấp","Trong dự toán"))))</f>
        <v/>
      </c>
    </row>
  </sheetData>
  <autoFilter ref="A1:M42"/>
  <dataValidations count="4">
    <dataValidation sqref="D2:D42" showDropDown="0" showInputMessage="0" showErrorMessage="0" allowBlank="1" errorTitle="Sai định dạng" error="Giá trị không hợp lệ cho cột này." type="list">
      <formula1>"Vật tư thiết bị,Nhân công,Thuê ngoài,Vận chuyển,Chi phí quản lý,Dự phòng"</formula1>
    </dataValidation>
    <dataValidation sqref="G2:G42" showDropDown="0" showInputMessage="0" showErrorMessage="0" allowBlank="1" errorTitle="Sai định dạng" error="Giá trị không hợp lệ cho cột này." type="decimal" operator="between">
      <formula1>0</formula1>
      <formula2>100000000000</formula2>
    </dataValidation>
    <dataValidation sqref="H2:H42" showDropDown="0" showInputMessage="0" showErrorMessage="0" allowBlank="1" errorTitle="Sai định dạng" error="Giá trị không hợp lệ cho cột này." type="decimal" operator="between">
      <formula1>0</formula1>
      <formula2>100000000000</formula2>
    </dataValidation>
    <dataValidation sqref="I2:I42" showDropDown="0" showInputMessage="0" showErrorMessage="0" allowBlank="1" errorTitle="Sai định dạng" error="Giá trị không hợp lệ cho cột này." type="decimal" operator="between">
      <formula1>0</formula1>
      <formula2>100000000000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4"/>
  <sheetViews>
    <sheetView workbookViewId="0">
      <selection activeCell="A1" sqref="A1"/>
    </sheetView>
  </sheetViews>
  <sheetFormatPr baseColWidth="8" defaultRowHeight="15"/>
  <cols>
    <col width="4" customWidth="1" min="1" max="1"/>
    <col width="100" customWidth="1" min="2" max="2"/>
  </cols>
  <sheetData>
    <row r="1">
      <c r="B1" s="9" t="inlineStr">
        <is>
          <t>Mẫu Excel theo dõi chi phí dự án theo từng hạng mục</t>
        </is>
      </c>
    </row>
    <row r="2">
      <c r="B2" s="10" t="inlineStr"/>
    </row>
    <row r="3">
      <c r="B3" s="11" t="inlineStr">
        <is>
          <t>CÁCH DÙNG</t>
        </is>
      </c>
    </row>
    <row r="4">
      <c r="B4" s="12" t="inlineStr">
        <is>
          <t>1. Chia dự án thành các hạng mục chi</t>
        </is>
      </c>
    </row>
    <row r="5">
      <c r="B5" s="10" t="inlineStr">
        <is>
          <t xml:space="preserve">   Hạng mục nên đủ nhỏ để có một người chịu trách nhiệm và đủ lớn để không phải ghi hàng trăm dòng. Với dự án lắp đặt, thường là vật tư chính, nhân công, vận chuyển, thuê thiết bị, chi phí dự phòng.</t>
        </is>
      </c>
    </row>
    <row r="6">
      <c r="B6" s="12" t="inlineStr">
        <is>
          <t>2. Nhập dự toán từng hạng mục trước khi bắt đầu</t>
        </is>
      </c>
    </row>
    <row r="7">
      <c r="B7" s="10" t="inlineStr">
        <is>
          <t xml:space="preserve">   Tổng dự toán các hạng mục phải khớp với ngân sách đã duyệt của dự án. Chốt xong thì giữ nguyên; hạng mục phát sinh ngoài kế hoạch thì thêm dòng mới thay vì sửa dự toán cũ, để sau này còn biết dự án trượt ở đâu.</t>
        </is>
      </c>
    </row>
    <row r="8">
      <c r="B8" s="12" t="inlineStr">
        <is>
          <t>3. Cập nhật thực chi và số đã thanh toán</t>
        </is>
      </c>
    </row>
    <row r="9">
      <c r="B9" s="10" t="inlineStr">
        <is>
          <t xml:space="preserve">   Thực chi ghi theo thời điểm phát sinh nghĩa vụ, tức là khi đã nhận hàng hoặc đã nghiệm thu, không phải khi trả tiền. Số đã thanh toán mới là tiền thật sự đi ra. Hai cột này khác nhau chính là chỗ nhiều dự án nhìn nhầm.</t>
        </is>
      </c>
    </row>
    <row r="10">
      <c r="B10" s="12" t="inlineStr">
        <is>
          <t>4. Rà cột cảnh báo hằng tuần</t>
        </is>
      </c>
    </row>
    <row r="11">
      <c r="B11" s="10" t="inlineStr">
        <is>
          <t xml:space="preserve">   Lọc các dòng vượt dự toán và xử lý theo mức: vượt nhẹ thì bù bằng hạng mục khác còn dư, vượt trên mười phần trăm thì phải báo và xin điều chỉnh. Đừng chờ tới cuối dự án mới cộng lại, khi đó không còn hạng mục nào để bù.</t>
        </is>
      </c>
    </row>
    <row r="12">
      <c r="B12" s="10" t="inlineStr"/>
    </row>
    <row r="13">
      <c r="B13" s="11" t="inlineStr">
        <is>
          <t>CÔNG THỨC TRONG FILE</t>
        </is>
      </c>
    </row>
    <row r="14">
      <c r="B14" s="12" t="inlineStr">
        <is>
          <t>Chênh lệch  —  =IF(C2="","",H2-G2)</t>
        </is>
      </c>
    </row>
    <row r="15">
      <c r="B15" s="10" t="inlineStr">
        <is>
          <t xml:space="preserve">   Thực chi trừ dự toán. Số dương là vượt, số âm là còn dư — và phần dư của hạng mục này chính là nguồn để bù cho hạng mục khác đang vượt, nên đừng bỏ qua các dòng âm.</t>
        </is>
      </c>
    </row>
    <row r="16">
      <c r="B16" s="12" t="inlineStr">
        <is>
          <t>Tỷ lệ thực hiện  —  =IF(C2="","",IFERROR(H2/G2,0))</t>
        </is>
      </c>
    </row>
    <row r="17">
      <c r="B17" s="10" t="inlineStr">
        <is>
          <t xml:space="preserve">   Thực chi chia dự toán. Bọc IFERROR cho hạng mục phát sinh ngoài kế hoạch, vốn có dự toán bằng 0 và sẽ ném #DIV/0! — những dòng đó đọc thẳng cột chênh lệch là đủ.</t>
        </is>
      </c>
    </row>
    <row r="18">
      <c r="B18" s="12" t="inlineStr">
        <is>
          <t>Còn phải thanh toán  —  =IF(C2="","",H2-I2)</t>
        </is>
      </c>
    </row>
    <row r="19">
      <c r="B19" s="10" t="inlineStr">
        <is>
          <t xml:space="preserve">   Phần đã phát sinh nghĩa vụ nhưng chưa trả tiền. Tổng cột này là số tiền dự án còn nợ nhà cung cấp — khoản mà một bảng chỉ theo dõi tiền đã chi sẽ không nhìn thấy cho tới khi hóa đơn về.</t>
        </is>
      </c>
    </row>
    <row r="20">
      <c r="B20" s="12" t="inlineStr">
        <is>
          <t>Cảnh báo  —  =IF(C2="","",IF(H2&gt;G2*1.1,"Vượt dự toán trên 10%",IF(H2&gt;G2,"Vượt dự toán nhẹ",IF(L2&gt;0,"Còn nợ nhà cung cấp","Trong dự toán"))))</t>
        </is>
      </c>
    </row>
    <row r="21">
      <c r="B21" s="10" t="inlineStr">
        <is>
          <t xml:space="preserve">   Hai mức vượt được tách ra vì chúng dẫn tới hai hành động khác nhau: vượt nhẹ thì tự bù trong nội bộ dự án, vượt hai chữ số thì phải báo lên. Nhánh còn nợ nhà cung cấp đứng sau vì nó là chuyện dòng tiền chứ không phải chuyện ngân sách.</t>
        </is>
      </c>
    </row>
    <row r="22">
      <c r="B22" s="10" t="inlineStr"/>
    </row>
    <row r="23">
      <c r="B23" s="12" t="inlineStr">
        <is>
          <t>Bản cập nhật mới nhất và hướng dẫn chi tiết:</t>
        </is>
      </c>
    </row>
    <row r="24">
      <c r="B24" s="13" t="inlineStr">
        <is>
          <t>https://excel.nguyenvietloc.com/mau-excel/quan-ly-cong-viec/bang-theo-doi-chi-phi-du-an</t>
        </is>
      </c>
    </row>
  </sheetData>
  <hyperlinks>
    <hyperlink xmlns:r="http://schemas.openxmlformats.org/officeDocument/2006/relationships" ref="B24"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2026-08-10T14:33:15Z</dcterms:created>
  <dcterms:modified xsi:type="dcterms:W3CDTF">2026-08-10T14:33:15Z</dcterms:modified>
</cp:coreProperties>
</file>